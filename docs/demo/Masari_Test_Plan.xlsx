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'Tests'!$A$1:$F$66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Masari test plan</t>
        </is>
      </c>
    </row>
    <row r="2">
      <c r="A2" s="2" t="inlineStr">
        <is>
          <t>Everything runs on a disposable demo database. Nothing touches real data or a real SMS provider.</t>
        </is>
      </c>
    </row>
    <row r="4">
      <c r="A4" s="3" t="inlineStr">
        <is>
          <t>HOW TO FILL IN</t>
        </is>
      </c>
      <c r="B4" s="4" t="n"/>
    </row>
    <row r="5">
      <c r="A5" s="5" t="inlineStr">
        <is>
          <t>1. Go to the Tests sheet.</t>
        </is>
      </c>
      <c r="B5" s="6" t="inlineStr">
        <is>
          <t>Do each step, in order within each area.</t>
        </is>
      </c>
    </row>
    <row r="6">
      <c r="A6" s="5" t="inlineStr">
        <is>
          <t>2. Yellow cells are yours.</t>
        </is>
      </c>
      <c r="B6" s="6" t="inlineStr">
        <is>
          <t>Column E: choose PASS, FAIL or SKIP from the dropdown.   Column F: for a FAIL write what you saw (a screenshot is a bonus).</t>
        </is>
      </c>
    </row>
    <row r="7">
      <c r="A7" s="5" t="inlineStr">
        <is>
          <t>3. Send the file back.</t>
        </is>
      </c>
      <c r="B7" s="6" t="inlineStr">
        <is>
          <t>Save it and send it to me. The Summary sheet counts the results automatically.</t>
        </is>
      </c>
    </row>
    <row r="9">
      <c r="A9" s="3" t="inlineStr">
        <is>
          <t>EXAMPLE (not a test)</t>
        </is>
      </c>
      <c r="B9" s="4" t="n"/>
    </row>
    <row r="10">
      <c r="A10" s="7" t="inlineStr">
        <is>
          <t>A99 | Open the site | The page loads</t>
        </is>
      </c>
      <c r="B10" s="7" t="inlineStr">
        <is>
          <t>Result: PASS      Notes: (empty is fine for a pass)</t>
        </is>
      </c>
    </row>
    <row r="11">
      <c r="A11" s="7" t="inlineStr">
        <is>
          <t>A98 | Press the big button | A message appears</t>
        </is>
      </c>
      <c r="B11" s="7" t="inlineStr">
        <is>
          <t>Result: FAIL      Notes: Nothing happened, the button stayed grey (screenshot attached)</t>
        </is>
      </c>
    </row>
    <row r="13">
      <c r="A13" s="3" t="inlineStr">
        <is>
          <t>SETUP</t>
        </is>
      </c>
      <c r="B13" s="4" t="n"/>
    </row>
    <row r="14">
      <c r="A14" s="5" t="inlineStr">
        <is>
          <t>Admin site</t>
        </is>
      </c>
      <c r="B14" s="6" t="inlineStr">
        <is>
          <t>http://localhost:5173   (sign in: demo.admin@masari.app, password = DEMO_ADMIN_PASSWORD in apps/api/.env)</t>
        </is>
      </c>
    </row>
    <row r="15">
      <c r="A15" s="5" t="inlineStr">
        <is>
          <t>API</t>
        </is>
      </c>
      <c r="B15" s="6" t="inlineStr">
        <is>
          <t>http://localhost:3000   (the emulator reaches it as http://10.0.2.2:3000)</t>
        </is>
      </c>
    </row>
    <row r="16">
      <c r="A16" s="5" t="inlineStr">
        <is>
          <t>Phone sign-ins</t>
        </is>
      </c>
      <c r="B16" s="6" t="inlineStr">
        <is>
          <t>demo.passenger@masari.app, demo.driver@masari.app (and demo.driver2@masari.app), demo.merchant@masari.app. Passwords: DEMO_PASSENGER_PASSWORD, DEMO_DRIVER_PASSWORD, DEMO_MERCHANT_PASSWORD in apps/api/.env</t>
        </is>
      </c>
    </row>
    <row r="17">
      <c r="A17" s="5" t="inlineStr">
        <is>
          <t>Sign-up invitation codes</t>
        </is>
      </c>
      <c r="B17" s="6" t="inlineStr">
        <is>
          <t>.staging-data/test-env/invitations.txt   (passenger +970590002001, driver +970590002002, merchant +970590002003)</t>
        </is>
      </c>
    </row>
    <row r="18">
      <c r="A18" s="5" t="inlineStr">
        <is>
          <t>One-time SMS codes</t>
        </is>
      </c>
      <c r="B18" s="6" t="inlineStr">
        <is>
          <t>No real SMS is sent. Open .staging-data/test-env/otp.txt and use the newest line.</t>
        </is>
      </c>
    </row>
    <row r="19">
      <c r="A19" s="5" t="inlineStr">
        <is>
          <t>Sample files on the emulator</t>
        </is>
      </c>
      <c r="B19" s="6" t="inlineStr">
        <is>
          <t>licence.jpg (valid), vehicle-registration.pdf (valid), not-really-an-image.jpg (text pretending to be a photo) - all in Downloads</t>
        </is>
      </c>
    </row>
    <row r="20">
      <c r="A20" s="5" t="inlineStr">
        <is>
          <t>Demo accounts waiting for review</t>
        </is>
      </c>
      <c r="B20" s="6" t="inlineStr">
        <is>
          <t>Demo Pending Merchant, Demo Pending Driver, Demo Rejected Driver</t>
        </is>
      </c>
    </row>
    <row r="21">
      <c r="A21" s="5" t="inlineStr">
        <is>
          <t>Start everything</t>
        </is>
      </c>
      <c r="B21" s="6" t="inlineStr">
        <is>
          <t>pwsh -NoProfile -File scripts/test-env/start.ps1</t>
        </is>
      </c>
    </row>
    <row r="22">
      <c r="A22" s="5" t="inlineStr">
        <is>
          <t>Back to a clean start</t>
        </is>
      </c>
      <c r="B22" s="6" t="inlineStr">
        <is>
          <t>pwsh -NoProfile -File scripts/test-env/reset-data.ps1   (do this before repeating sign-up or approval tests: they use things up)</t>
        </is>
      </c>
    </row>
    <row r="23">
      <c r="A23" s="5" t="inlineStr">
        <is>
          <t>Stop everything</t>
        </is>
      </c>
      <c r="B23" s="6" t="inlineStr">
        <is>
          <t>pwsh -NoProfile -File scripts/test-env/stop.ps1</t>
        </is>
      </c>
    </row>
    <row r="25">
      <c r="A25" s="3" t="inlineStr">
        <is>
          <t>NOT IN SCOPE (do not report as bugs)</t>
        </is>
      </c>
      <c r="B25" s="4" t="n"/>
    </row>
    <row r="26">
      <c r="A26" s="5" t="inlineStr"/>
      <c r="B26" s="6" t="inlineStr">
        <is>
          <t>Real SMS delivery (codes come from otp.txt), push notifications, payments, fares and earnings amounts, live tracking, PDF or Excel exports, maps and checkpoint feeds (switched off), and anything on a real server.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52" customWidth="1" min="4" max="4"/>
    <col width="11" customWidth="1" min="5" max="5"/>
    <col width="48" customWidth="1" min="6" max="6"/>
  </cols>
  <sheetData>
    <row r="1" ht="22" customHeight="1">
      <c r="A1" s="8" t="inlineStr">
        <is>
          <t>ID</t>
        </is>
      </c>
      <c r="B1" s="8" t="inlineStr">
        <is>
          <t>Area</t>
        </is>
      </c>
      <c r="C1" s="8" t="inlineStr">
        <is>
          <t>What to do</t>
        </is>
      </c>
      <c r="D1" s="8" t="inlineStr">
        <is>
          <t>What you should see</t>
        </is>
      </c>
      <c r="E1" s="8" t="inlineStr">
        <is>
          <t>Result</t>
        </is>
      </c>
      <c r="F1" s="8" t="inlineStr">
        <is>
          <t>What you saw (notes)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11" t="n"/>
      <c r="F2" s="11" t="n"/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11" t="n"/>
      <c r="F3" s="11" t="n"/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11" t="n"/>
      <c r="F4" s="11" t="n"/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11" t="n"/>
      <c r="F5" s="11" t="n"/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11" t="n"/>
      <c r="F6" s="11" t="n"/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11" t="n"/>
      <c r="F7" s="11" t="n"/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11" t="n"/>
      <c r="F8" s="11" t="n"/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11" t="n"/>
      <c r="F9" s="11" t="n"/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11" t="n"/>
      <c r="F10" s="11" t="n"/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11" t="n"/>
      <c r="F11" s="11" t="n"/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11" t="n"/>
      <c r="F12" s="11" t="n"/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11" t="n"/>
      <c r="F13" s="11" t="n"/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11" t="n"/>
      <c r="F14" s="11" t="n"/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11" t="n"/>
      <c r="F15" s="11" t="n"/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11" t="n"/>
      <c r="F16" s="11" t="n"/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11" t="n"/>
      <c r="F17" s="11" t="n"/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11" t="n"/>
      <c r="F18" s="11" t="n"/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11" t="n"/>
      <c r="F19" s="11" t="n"/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11" t="n"/>
      <c r="F20" s="11" t="n"/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11" t="n"/>
      <c r="F21" s="11" t="n"/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11" t="n"/>
      <c r="F22" s="11" t="n"/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11" t="n"/>
      <c r="F23" s="11" t="n"/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11" t="n"/>
      <c r="F24" s="11" t="n"/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11" t="n"/>
      <c r="F25" s="11" t="n"/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11" t="n"/>
      <c r="F26" s="11" t="n"/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11" t="n"/>
      <c r="F27" s="11" t="n"/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"Create an invited account" → Passenger → enter the passenger invitation code and phone +970590002001 → Send verification code</t>
        </is>
      </c>
      <c r="D28" s="10" t="inlineStr">
        <is>
          <t>A code-entry screen appears with a resend countdown</t>
        </is>
      </c>
      <c r="E28" s="11" t="n"/>
      <c r="F28" s="11" t="n"/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11" t="n"/>
      <c r="F29" s="11" t="n"/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Enter the right code (from otp.txt), then name, a password of at least 15 characters, tick the three consents, Create account</t>
        </is>
      </c>
      <c r="D30" s="10" t="inlineStr">
        <is>
          <t>Account created; the passenger can sign in and is active straight away</t>
        </is>
      </c>
      <c r="E30" s="11" t="n"/>
      <c r="F30" s="11" t="n"/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C01–C03 for the driver (+970590002002)</t>
        </is>
      </c>
      <c r="D31" s="10" t="inlineStr">
        <is>
          <t>The screen says "Application under review" and shows a "Verification documents" card</t>
        </is>
      </c>
      <c r="E31" s="11" t="n"/>
      <c r="F31" s="11" t="n"/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11" t="n"/>
      <c r="F32" s="11" t="n"/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11" t="n"/>
      <c r="F33" s="11" t="n"/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11" t="n"/>
      <c r="F34" s="11" t="n"/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11" t="n"/>
      <c r="F35" s="11" t="n"/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11" t="n"/>
      <c r="F36" s="11" t="n"/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11" t="n"/>
      <c r="F37" s="11" t="n"/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11" t="n"/>
      <c r="F38" s="11" t="n"/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11" t="n"/>
      <c r="F39" s="11" t="n"/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Repeat C01–C03 for the merchant (+970590002003); Admin approves it (A09)</t>
        </is>
      </c>
      <c r="D40" s="10" t="inlineStr">
        <is>
          <t>Same pending → approved path; the merchant signs in</t>
        </is>
      </c>
      <c r="E40" s="11" t="n"/>
      <c r="F40" s="11" t="n"/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11" t="n"/>
      <c r="F41" s="11" t="n"/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11" t="n"/>
      <c r="F42" s="11" t="n"/>
    </row>
    <row r="43">
      <c r="A43" s="9" t="inlineStr">
        <is>
          <t>D01</t>
        </is>
      </c>
      <c r="B43" s="10" t="inlineStr">
        <is>
          <t>Main story (passenger, merchant, driver)</t>
        </is>
      </c>
      <c r="C43" s="10" t="inlineStr">
        <is>
          <t>Passenger: open the seeded request and its match</t>
        </is>
      </c>
      <c r="D43" s="10" t="inlineStr">
        <is>
          <t>The request and a match result are shown</t>
        </is>
      </c>
      <c r="E43" s="11" t="n"/>
      <c r="F43" s="11" t="n"/>
    </row>
    <row r="44">
      <c r="A44" s="9" t="inlineStr">
        <is>
          <t>D02</t>
        </is>
      </c>
      <c r="B44" s="10" t="inlineStr">
        <is>
          <t>Main story (passenger, merchant, driver)</t>
        </is>
      </c>
      <c r="C44" s="10" t="inlineStr">
        <is>
          <t>Merchant: open the seeded order</t>
        </is>
      </c>
      <c r="D44" s="10" t="inlineStr">
        <is>
          <t>Five parcels and their batch are shown</t>
        </is>
      </c>
      <c r="E44" s="11" t="n"/>
      <c r="F44" s="11" t="n"/>
    </row>
    <row r="45">
      <c r="A45" s="9" t="inlineStr">
        <is>
          <t>D03</t>
        </is>
      </c>
      <c r="B45" s="10" t="inlineStr">
        <is>
          <t>Main story (passenger, merchant, driver)</t>
        </is>
      </c>
      <c r="C45" s="10" t="inlineStr">
        <is>
          <t>Admin: open the Matching page; if there is no match yet, run matching</t>
        </is>
      </c>
      <c r="D45" s="10" t="inlineStr">
        <is>
          <t>One combined passenger+parcel match exists, with a score breakdown</t>
        </is>
      </c>
      <c r="E45" s="11" t="n"/>
      <c r="F45" s="11" t="n"/>
    </row>
    <row r="46">
      <c r="A46" s="9" t="inlineStr">
        <is>
          <t>D04</t>
        </is>
      </c>
      <c r="B46" s="10" t="inlineStr">
        <is>
          <t>Main story (passenger, merchant, driver)</t>
        </is>
      </c>
      <c r="C46" s="10" t="inlineStr">
        <is>
          <t>Driver (the selected one): open the inbox</t>
        </is>
      </c>
      <c r="D46" s="10" t="inlineStr">
        <is>
          <t>The match is there; the other driver's inbox is empty</t>
        </is>
      </c>
      <c r="E46" s="11" t="n"/>
      <c r="F46" s="11" t="n"/>
    </row>
    <row r="47">
      <c r="A47" s="9" t="inlineStr">
        <is>
          <t>D05</t>
        </is>
      </c>
      <c r="B47" s="10" t="inlineStr">
        <is>
          <t>Main story (passenger, merchant, driver)</t>
        </is>
      </c>
      <c r="C47" s="10" t="inlineStr">
        <is>
          <t>Driver: accept the match</t>
        </is>
      </c>
      <c r="D47" s="10" t="inlineStr">
        <is>
          <t>Exactly one trip is created</t>
        </is>
      </c>
      <c r="E47" s="11" t="n"/>
      <c r="F47" s="11" t="n"/>
    </row>
    <row r="48">
      <c r="A48" s="9" t="inlineStr">
        <is>
          <t>D06</t>
        </is>
      </c>
      <c r="B48" s="10" t="inlineStr">
        <is>
          <t>Main story (passenger, merchant, driver)</t>
        </is>
      </c>
      <c r="C48" s="10" t="inlineStr">
        <is>
          <t>Driver: advance pickup → picked up → in transit (and simulate points)</t>
        </is>
      </c>
      <c r="D48" s="10" t="inlineStr">
        <is>
          <t>Only the next valid action is offered each time</t>
        </is>
      </c>
      <c r="E48" s="11" t="n"/>
      <c r="F48" s="11" t="n"/>
    </row>
    <row r="49">
      <c r="A49" s="9" t="inlineStr">
        <is>
          <t>D07</t>
        </is>
      </c>
      <c r="B49" s="10" t="inlineStr">
        <is>
          <t>Main story (passenger, merchant, driver)</t>
        </is>
      </c>
      <c r="C49" s="10" t="inlineStr">
        <is>
          <t>Passenger and merchant: open their trip</t>
        </is>
      </c>
      <c r="D49" s="10" t="inlineStr">
        <is>
          <t>Both see the same trip and the same latest location; read-only</t>
        </is>
      </c>
      <c r="E49" s="11" t="n"/>
      <c r="F49" s="11" t="n"/>
    </row>
    <row r="50">
      <c r="A50" s="9" t="inlineStr">
        <is>
          <t>D08</t>
        </is>
      </c>
      <c r="B50" s="10" t="inlineStr">
        <is>
          <t>Main story (passenger, merchant, driver)</t>
        </is>
      </c>
      <c r="C50" s="10" t="inlineStr">
        <is>
          <t>Passenger and merchant: bell and Notifications tab</t>
        </is>
      </c>
      <c r="D50" s="10" t="inlineStr">
        <is>
          <t>A "match accepted" and "trip update" entries; tapping one clears its dot; "Mark all as read" works</t>
        </is>
      </c>
      <c r="E50" s="11" t="n"/>
      <c r="F50" s="11" t="n"/>
    </row>
    <row r="51">
      <c r="A51" s="9" t="inlineStr">
        <is>
          <t>D09</t>
        </is>
      </c>
      <c r="B51" s="10" t="inlineStr">
        <is>
          <t>Main story (passenger, merchant, driver)</t>
        </is>
      </c>
      <c r="C51" s="10" t="inlineStr">
        <is>
          <t>Driver: complete the trip</t>
        </is>
      </c>
      <c r="D51" s="10" t="inlineStr">
        <is>
          <t>Trip shows completed on all three phones and in the Admin</t>
        </is>
      </c>
      <c r="E51" s="11" t="n"/>
      <c r="F51" s="11" t="n"/>
    </row>
    <row r="52">
      <c r="A52" s="9" t="inlineStr">
        <is>
          <t>D10</t>
        </is>
      </c>
      <c r="B52" s="10" t="inlineStr">
        <is>
          <t>Main story (passenger, merchant, driver)</t>
        </is>
      </c>
      <c r="C52" s="10" t="inlineStr">
        <is>
          <t>Tracking wording</t>
        </is>
      </c>
      <c r="D52" s="10" t="inlineStr">
        <is>
          <t>Anywhere location appears it is described as simulated, never as live GPS</t>
        </is>
      </c>
      <c r="E52" s="11" t="n"/>
      <c r="F52" s="11" t="n"/>
    </row>
    <row r="53">
      <c r="A53" s="9" t="inlineStr">
        <is>
          <t>E01</t>
        </is>
      </c>
      <c r="B53" s="10" t="inlineStr">
        <is>
          <t>Smaller features</t>
        </is>
      </c>
      <c r="C53" s="10" t="inlineStr">
        <is>
          <t>Driver: Earnings/performance tab</t>
        </is>
      </c>
      <c r="D53" s="10" t="inlineStr">
        <is>
          <t>Completed-trip counts shown; earnings says it is not tracked (no invented amount)</t>
        </is>
      </c>
      <c r="E53" s="11" t="n"/>
      <c r="F53" s="11" t="n"/>
    </row>
    <row r="54">
      <c r="A54" s="9" t="inlineStr">
        <is>
          <t>E02</t>
        </is>
      </c>
      <c r="B54" s="10" t="inlineStr">
        <is>
          <t>Smaller features</t>
        </is>
      </c>
      <c r="C54" s="10" t="inlineStr">
        <is>
          <t>Same tab, acceptance rate</t>
        </is>
      </c>
      <c r="D54" s="10" t="inlineStr">
        <is>
          <t>Under 5 answered offers it says the rate appears after 5; after accepting/rejecting 5 offers it shows a percentage and "x of y"</t>
        </is>
      </c>
      <c r="E54" s="11" t="n"/>
      <c r="F54" s="11" t="n"/>
    </row>
    <row r="55">
      <c r="A55" s="9" t="inlineStr">
        <is>
          <t>E03</t>
        </is>
      </c>
      <c r="B55" s="10" t="inlineStr">
        <is>
          <t>Smaller features</t>
        </is>
      </c>
      <c r="C55" s="10" t="inlineStr">
        <is>
          <t>Driver: reject an offer and accept another (needs fresh offers: reset)</t>
        </is>
      </c>
      <c r="D55" s="10" t="inlineStr">
        <is>
          <t>The numbers in E02 move accordingly</t>
        </is>
      </c>
      <c r="E55" s="11" t="n"/>
      <c r="F55" s="11" t="n"/>
    </row>
    <row r="56">
      <c r="A56" s="9" t="inlineStr">
        <is>
          <t>E04</t>
        </is>
      </c>
      <c r="B56" s="10" t="inlineStr">
        <is>
          <t>Smaller features</t>
        </is>
      </c>
      <c r="C56" s="10" t="inlineStr">
        <is>
          <t>Merchant: Reports tab</t>
        </is>
      </c>
      <c r="D56" s="10" t="inlineStr">
        <is>
          <t>Orders, parcels and deliveries by status; matches the Admin report for that merchant</t>
        </is>
      </c>
      <c r="E56" s="11" t="n"/>
      <c r="F56" s="11" t="n"/>
    </row>
    <row r="57">
      <c r="A57" s="9" t="inlineStr">
        <is>
          <t>E05</t>
        </is>
      </c>
      <c r="B57" s="10" t="inlineStr">
        <is>
          <t>Smaller features</t>
        </is>
      </c>
      <c r="C57" s="10" t="inlineStr">
        <is>
          <t>Passenger on a trip: Report a problem → Delay → write a sentence → Send</t>
        </is>
      </c>
      <c r="D57" s="10" t="inlineStr">
        <is>
          <t>Confirmation; the sheet says it is not an emergency service</t>
        </is>
      </c>
      <c r="E57" s="11" t="n"/>
      <c r="F57" s="11" t="n"/>
    </row>
    <row r="58">
      <c r="A58" s="9" t="inlineStr">
        <is>
          <t>E06</t>
        </is>
      </c>
      <c r="B58" s="10" t="inlineStr">
        <is>
          <t>Smaller features</t>
        </is>
      </c>
      <c r="C58" s="10" t="inlineStr">
        <is>
          <t>Send 11 reports without any being resolved</t>
        </is>
      </c>
      <c r="D58" s="10" t="inlineStr">
        <is>
          <t>The 11th is refused with a message about too many open reports</t>
        </is>
      </c>
      <c r="E58" s="11" t="n"/>
      <c r="F58" s="11" t="n"/>
    </row>
    <row r="59">
      <c r="A59" s="9" t="inlineStr">
        <is>
          <t>E07</t>
        </is>
      </c>
      <c r="B59" s="10" t="inlineStr">
        <is>
          <t>Smaller features</t>
        </is>
      </c>
      <c r="C59" s="10" t="inlineStr">
        <is>
          <t>Admin: Incidents</t>
        </is>
      </c>
      <c r="D59" s="10" t="inlineStr">
        <is>
          <t>The report from E05 is there (see A16); after you resolve it, the passenger gets two new notifications and does not see your internal note</t>
        </is>
      </c>
      <c r="E59" s="11" t="n"/>
      <c r="F59" s="11" t="n"/>
    </row>
    <row r="60">
      <c r="A60" s="9" t="inlineStr">
        <is>
          <t>E08</t>
        </is>
      </c>
      <c r="B60" s="10" t="inlineStr">
        <is>
          <t>Smaller features</t>
        </is>
      </c>
      <c r="C60" s="10" t="inlineStr">
        <is>
          <t>Driver: go online/offline</t>
        </is>
      </c>
      <c r="D60" s="10" t="inlineStr">
        <is>
          <t>The state changes once per tap and survives closing the app</t>
        </is>
      </c>
      <c r="E60" s="11" t="n"/>
      <c r="F60" s="11" t="n"/>
    </row>
    <row r="61">
      <c r="A61" s="9" t="inlineStr">
        <is>
          <t>F01</t>
        </is>
      </c>
      <c r="B61" s="10" t="inlineStr">
        <is>
          <t>Must NOT work (safety)</t>
        </is>
      </c>
      <c r="C61" s="10" t="inlineStr">
        <is>
          <t>Admin site: sign in as a passenger (using a passenger's email and password)</t>
        </is>
      </c>
      <c r="D61" s="10" t="inlineStr">
        <is>
          <t>Refused</t>
        </is>
      </c>
      <c r="E61" s="11" t="n"/>
      <c r="F61" s="11" t="n"/>
    </row>
    <row r="62">
      <c r="A62" s="9" t="inlineStr">
        <is>
          <t>F02</t>
        </is>
      </c>
      <c r="B62" s="10" t="inlineStr">
        <is>
          <t>Must NOT work (safety)</t>
        </is>
      </c>
      <c r="C62" s="10" t="inlineStr">
        <is>
          <t>A pending merchant or driver signs in on the phone</t>
        </is>
      </c>
      <c r="D62" s="10" t="inlineStr">
        <is>
          <t>Refused with a clear message</t>
        </is>
      </c>
      <c r="E62" s="11" t="n"/>
      <c r="F62" s="11" t="n"/>
    </row>
    <row r="63">
      <c r="A63" s="9" t="inlineStr">
        <is>
          <t>F03</t>
        </is>
      </c>
      <c r="B63" s="10" t="inlineStr">
        <is>
          <t>Must NOT work (safety)</t>
        </is>
      </c>
      <c r="C63" s="10" t="inlineStr">
        <is>
          <t>After the Admin rejects a driver with a reason, sign in as that driver</t>
        </is>
      </c>
      <c r="D63" s="10" t="inlineStr">
        <is>
          <t>Refused</t>
        </is>
      </c>
      <c r="E63" s="11" t="n"/>
      <c r="F63" s="11" t="n"/>
    </row>
    <row r="64">
      <c r="A64" s="9" t="inlineStr">
        <is>
          <t>F04</t>
        </is>
      </c>
      <c r="B64" s="10" t="inlineStr">
        <is>
          <t>Must NOT work (safety)</t>
        </is>
      </c>
      <c r="C64" s="10" t="inlineStr">
        <is>
          <t>As a passenger, try to open driver or merchant screens (via the menu only; no URL tricks)</t>
        </is>
      </c>
      <c r="D64" s="10" t="inlineStr">
        <is>
          <t>Not reachable</t>
        </is>
      </c>
      <c r="E64" s="11" t="n"/>
      <c r="F64" s="11" t="n"/>
    </row>
    <row r="65">
      <c r="A65" s="9" t="inlineStr">
        <is>
          <t>F05</t>
        </is>
      </c>
      <c r="B65" s="10" t="inlineStr">
        <is>
          <t>Must NOT work (safety)</t>
        </is>
      </c>
      <c r="C65" s="10" t="inlineStr">
        <is>
          <t>Admin downloads a driver document, then the applicant is approved: can the applicant still upload?</t>
        </is>
      </c>
      <c r="D65" s="10" t="inlineStr">
        <is>
          <t>No: uploading is closed once a decision is made</t>
        </is>
      </c>
      <c r="E65" s="11" t="n"/>
      <c r="F65" s="11" t="n"/>
    </row>
    <row r="66">
      <c r="A66" s="9" t="inlineStr">
        <is>
          <t>F06</t>
        </is>
      </c>
      <c r="B66" s="10" t="inlineStr">
        <is>
          <t>Must NOT work (safety)</t>
        </is>
      </c>
      <c r="C66" s="10" t="inlineStr">
        <is>
          <t>Look through every screen for the words "push notification", "emergency", "live GPS", "payment", "earnings" used as if they work</t>
        </is>
      </c>
      <c r="D66" s="10" t="inlineStr">
        <is>
          <t>None claim a feature that is not built</t>
        </is>
      </c>
      <c r="E66" s="11" t="n"/>
      <c r="F66" s="11" t="n"/>
    </row>
  </sheetData>
  <autoFilter ref="A1:F66"/>
  <conditionalFormatting sqref="E2:E6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dataValidations count="1">
    <dataValidation sqref="E2:E66" showDropDown="0" showInputMessage="0" showErrorMessage="1" allowBlank="1" errorTitle="Pick from the list" error="Choose PASS, FAIL or SKIP." type="list">
      <formula1>"PASS,FAIL,SKIP"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2" t="inlineStr">
        <is>
          <t>Area</t>
        </is>
      </c>
      <c r="B1" s="12" t="inlineStr">
        <is>
          <t>Tests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SKIP</t>
        </is>
      </c>
      <c r="F1" s="12" t="inlineStr">
        <is>
          <t>Not done</t>
        </is>
      </c>
    </row>
    <row r="2">
      <c r="A2" s="13" t="inlineStr">
        <is>
          <t>Admin site</t>
        </is>
      </c>
      <c r="B2" s="13">
        <f>COUNTIF(Tests!$A$2:$A$66,"A*")</f>
        <v/>
      </c>
      <c r="C2" s="13">
        <f>COUNTIFS(Tests!$A$2:$A$66,"A*",Tests!$E$2:$E$66,"PASS")</f>
        <v/>
      </c>
      <c r="D2" s="13">
        <f>COUNTIFS(Tests!$A$2:$A$66,"A*",Tests!$E$2:$E$66,"FAIL")</f>
        <v/>
      </c>
      <c r="E2" s="13">
        <f>COUNTIFS(Tests!$A$2:$A$66,"A*",Tests!$E$2:$E$66,"SKIP")</f>
        <v/>
      </c>
      <c r="F2" s="13">
        <f>B2-C2-D2-E2</f>
        <v/>
      </c>
    </row>
    <row r="3">
      <c r="A3" s="13" t="inlineStr">
        <is>
          <t>Phone: signing in</t>
        </is>
      </c>
      <c r="B3" s="13">
        <f>COUNTIF(Tests!$A$2:$A$66,"B*")</f>
        <v/>
      </c>
      <c r="C3" s="13">
        <f>COUNTIFS(Tests!$A$2:$A$66,"B*",Tests!$E$2:$E$66,"PASS")</f>
        <v/>
      </c>
      <c r="D3" s="13">
        <f>COUNTIFS(Tests!$A$2:$A$66,"B*",Tests!$E$2:$E$66,"FAIL")</f>
        <v/>
      </c>
      <c r="E3" s="13">
        <f>COUNTIFS(Tests!$A$2:$A$66,"B*",Tests!$E$2:$E$66,"SKIP")</f>
        <v/>
      </c>
      <c r="F3" s="13">
        <f>B3-C3-D3-E3</f>
        <v/>
      </c>
    </row>
    <row r="4">
      <c r="A4" s="13" t="inlineStr">
        <is>
          <t>Phone: sign-up with invitation</t>
        </is>
      </c>
      <c r="B4" s="13">
        <f>COUNTIF(Tests!$A$2:$A$66,"C*")</f>
        <v/>
      </c>
      <c r="C4" s="13">
        <f>COUNTIFS(Tests!$A$2:$A$66,"C*",Tests!$E$2:$E$66,"PASS")</f>
        <v/>
      </c>
      <c r="D4" s="13">
        <f>COUNTIFS(Tests!$A$2:$A$66,"C*",Tests!$E$2:$E$66,"FAIL")</f>
        <v/>
      </c>
      <c r="E4" s="13">
        <f>COUNTIFS(Tests!$A$2:$A$66,"C*",Tests!$E$2:$E$66,"SKIP")</f>
        <v/>
      </c>
      <c r="F4" s="13">
        <f>B4-C4-D4-E4</f>
        <v/>
      </c>
    </row>
    <row r="5">
      <c r="A5" s="13" t="inlineStr">
        <is>
          <t>Main story (passenger, merchant, driver)</t>
        </is>
      </c>
      <c r="B5" s="13">
        <f>COUNTIF(Tests!$A$2:$A$66,"D*")</f>
        <v/>
      </c>
      <c r="C5" s="13">
        <f>COUNTIFS(Tests!$A$2:$A$66,"D*",Tests!$E$2:$E$66,"PASS")</f>
        <v/>
      </c>
      <c r="D5" s="13">
        <f>COUNTIFS(Tests!$A$2:$A$66,"D*",Tests!$E$2:$E$66,"FAIL")</f>
        <v/>
      </c>
      <c r="E5" s="13">
        <f>COUNTIFS(Tests!$A$2:$A$66,"D*",Tests!$E$2:$E$66,"SKIP")</f>
        <v/>
      </c>
      <c r="F5" s="13">
        <f>B5-C5-D5-E5</f>
        <v/>
      </c>
    </row>
    <row r="6">
      <c r="A6" s="13" t="inlineStr">
        <is>
          <t>Smaller features</t>
        </is>
      </c>
      <c r="B6" s="13">
        <f>COUNTIF(Tests!$A$2:$A$66,"E*")</f>
        <v/>
      </c>
      <c r="C6" s="13">
        <f>COUNTIFS(Tests!$A$2:$A$66,"E*",Tests!$E$2:$E$66,"PASS")</f>
        <v/>
      </c>
      <c r="D6" s="13">
        <f>COUNTIFS(Tests!$A$2:$A$66,"E*",Tests!$E$2:$E$66,"FAIL")</f>
        <v/>
      </c>
      <c r="E6" s="13">
        <f>COUNTIFS(Tests!$A$2:$A$66,"E*",Tests!$E$2:$E$66,"SKIP")</f>
        <v/>
      </c>
      <c r="F6" s="13">
        <f>B6-C6-D6-E6</f>
        <v/>
      </c>
    </row>
    <row r="7">
      <c r="A7" s="13" t="inlineStr">
        <is>
          <t>Must NOT work (safety)</t>
        </is>
      </c>
      <c r="B7" s="13">
        <f>COUNTIF(Tests!$A$2:$A$66,"F*")</f>
        <v/>
      </c>
      <c r="C7" s="13">
        <f>COUNTIFS(Tests!$A$2:$A$66,"F*",Tests!$E$2:$E$66,"PASS")</f>
        <v/>
      </c>
      <c r="D7" s="13">
        <f>COUNTIFS(Tests!$A$2:$A$66,"F*",Tests!$E$2:$E$66,"FAIL")</f>
        <v/>
      </c>
      <c r="E7" s="13">
        <f>COUNTIFS(Tests!$A$2:$A$66,"F*",Tests!$E$2:$E$66,"SKIP")</f>
        <v/>
      </c>
      <c r="F7" s="13">
        <f>B7-C7-D7-E7</f>
        <v/>
      </c>
    </row>
    <row r="8">
      <c r="A8" s="14" t="inlineStr">
        <is>
          <t>Total</t>
        </is>
      </c>
      <c r="B8" s="14">
        <f>SUM(B2:B7)</f>
        <v/>
      </c>
      <c r="C8" s="14">
        <f>SUM(C2:C7)</f>
        <v/>
      </c>
      <c r="D8" s="14">
        <f>SUM(D2:D7)</f>
        <v/>
      </c>
      <c r="E8" s="14">
        <f>SUM(E2:E7)</f>
        <v/>
      </c>
      <c r="F8" s="14">
        <f>SUM(F2:F7)</f>
        <v/>
      </c>
    </row>
    <row r="10">
      <c r="A10" s="15" t="inlineStr">
        <is>
          <t>The counts update by themselves as you fill in the Tests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2026-10-27T20:36:01Z</dcterms:created>
  <dcterms:modified xsi:type="dcterms:W3CDTF">2026-10-27T20:36:01Z</dcterms:modified>
</cp:coreProperties>
</file>