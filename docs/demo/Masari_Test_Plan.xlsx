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ests" sheetId="2" state="visible" r:id="rId2"/>
    <sheet name="Summary" sheetId="3" state="visible" r:id="rId3"/>
  </sheets>
  <definedNames>
    <definedName name="_xlnm._FilterDatabase" localSheetId="1" hidden="1">'Tests'!$A$1:$F$130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6"/>
    </font>
    <font>
      <name val="Arial"/>
      <sz val="10"/>
    </font>
    <font>
      <name val="Arial"/>
      <b val="1"/>
      <color rgb="00FFFFFF"/>
      <sz val="10"/>
    </font>
    <font>
      <name val="Arial"/>
      <b val="1"/>
      <sz val="10"/>
    </font>
    <font>
      <name val="Arial"/>
      <i val="1"/>
      <sz val="9"/>
    </font>
  </fonts>
  <fills count="4">
    <fill>
      <patternFill/>
    </fill>
    <fill>
      <patternFill patternType="gray125"/>
    </fill>
    <fill>
      <patternFill patternType="solid">
        <fgColor rgb="001F3A2E"/>
      </patternFill>
    </fill>
    <fill>
      <patternFill patternType="solid">
        <fgColor rgb="00FFF9C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2" borderId="1" pivotButton="0" quotePrefix="0" xfId="0"/>
    <xf numFmtId="0" fontId="2" fillId="0" borderId="1" pivotButton="0" quotePrefix="0" xfId="0"/>
    <xf numFmtId="0" fontId="4" fillId="0" borderId="1" pivotButton="0" quotePrefix="0" xfId="0"/>
    <xf numFmtId="0" fontId="5" fillId="0" borderId="0" pivotButton="0" quotePrefix="0" xfId="0"/>
    <xf numFmtId="0" fontId="2" fillId="3" borderId="0" pivotButton="0" quotePrefix="0" xfId="0"/>
  </cellXfs>
  <cellStyles count="1">
    <cellStyle name="Normal" xfId="0" builtinId="0" hidden="0"/>
  </cellStyles>
  <dxfs count="6">
    <dxf>
      <font>
        <name val="Arial"/>
        <b val="1"/>
        <color rgb="00006100"/>
      </font>
      <fill>
        <patternFill patternType="solid">
          <fgColor rgb="00C6EFCE"/>
          <bgColor rgb="00C6EFCE"/>
        </patternFill>
      </fill>
    </dxf>
    <dxf>
      <font>
        <name val="Arial"/>
        <b val="1"/>
        <color rgb="009C0006"/>
      </font>
      <fill>
        <patternFill patternType="solid">
          <fgColor rgb="00FFC7CE"/>
          <bgColor rgb="00FFC7CE"/>
        </patternFill>
      </fill>
    </dxf>
    <dxf>
      <font>
        <name val="Arial"/>
        <b val="1"/>
        <color rgb="00595959"/>
      </font>
      <fill>
        <patternFill patternType="solid">
          <fgColor rgb="00E7E6E6"/>
          <bgColor rgb="00E7E6E6"/>
        </patternFill>
      </fill>
    </dxf>
    <dxf>
      <font>
        <color rgb="00006100"/>
      </font>
      <fill>
        <patternFill patternType="solid">
          <bgColor rgb="00C6EFCE"/>
        </patternFill>
      </fill>
    </dxf>
    <dxf>
      <font>
        <color rgb="009C0006"/>
      </font>
      <fill>
        <patternFill patternType="solid">
          <bgColor rgb="00FFC7CE"/>
        </patternFill>
      </fill>
    </dxf>
    <dxf>
      <font>
        <color rgb="00595959"/>
      </font>
      <fill>
        <patternFill patternType="solid">
          <b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min="1" max="1"/>
    <col width="90" customWidth="1" min="2" max="2"/>
  </cols>
  <sheetData>
    <row r="1">
      <c r="A1" s="1" t="inlineStr">
        <is>
          <t>Masari test plan</t>
        </is>
      </c>
    </row>
    <row r="2">
      <c r="A2" s="2" t="inlineStr">
        <is>
          <t>Everything runs on a disposable demo database. Nothing touches real data or a real SMS provider.</t>
        </is>
      </c>
    </row>
    <row r="3"/>
    <row r="4">
      <c r="A4" s="3" t="inlineStr">
        <is>
          <t>HOW TO FILL IN</t>
        </is>
      </c>
      <c r="B4" s="4" t="n"/>
    </row>
    <row r="5">
      <c r="A5" s="5" t="inlineStr">
        <is>
          <t>1. Go to the Tests sheet.</t>
        </is>
      </c>
      <c r="B5" s="6" t="inlineStr">
        <is>
          <t>Do each step, in order within each area.</t>
        </is>
      </c>
    </row>
    <row r="6">
      <c r="A6" s="5" t="inlineStr">
        <is>
          <t>2. Yellow cells are yours.</t>
        </is>
      </c>
      <c r="B6" s="6" t="inlineStr">
        <is>
          <t>Column E: choose PASS, FAIL or SKIP from the dropdown.   Column F: for a FAIL write what you saw (a screenshot is a bonus).</t>
        </is>
      </c>
    </row>
    <row r="7">
      <c r="A7" s="5" t="inlineStr">
        <is>
          <t>3. Send the file back.</t>
        </is>
      </c>
      <c r="B7" s="6" t="inlineStr">
        <is>
          <t>Save it and send it to me. The Summary sheet counts the results automatically.</t>
        </is>
      </c>
    </row>
    <row r="8"/>
    <row r="9">
      <c r="A9" s="3" t="inlineStr">
        <is>
          <t>EXAMPLE (not a test)</t>
        </is>
      </c>
      <c r="B9" s="4" t="n"/>
    </row>
    <row r="10">
      <c r="A10" s="7" t="inlineStr">
        <is>
          <t>A99 | Open the site | The page loads</t>
        </is>
      </c>
      <c r="B10" s="7" t="inlineStr">
        <is>
          <t>Result: PASS      Notes: (empty is fine for a pass)</t>
        </is>
      </c>
    </row>
    <row r="11">
      <c r="A11" s="7" t="inlineStr">
        <is>
          <t>A98 | Press the big button | A message appears</t>
        </is>
      </c>
      <c r="B11" s="7" t="inlineStr">
        <is>
          <t>Result: FAIL      Notes: Nothing happened, the button stayed grey (screenshot attached)</t>
        </is>
      </c>
    </row>
    <row r="12"/>
    <row r="13">
      <c r="A13" s="3" t="inlineStr">
        <is>
          <t>SETUP</t>
        </is>
      </c>
      <c r="B13" s="4" t="n"/>
    </row>
    <row r="14">
      <c r="A14" s="5" t="inlineStr">
        <is>
          <t>Admin site</t>
        </is>
      </c>
      <c r="B14" s="6" t="inlineStr">
        <is>
          <t>http://localhost:5173   (sign in: demo.admin@masari.app, password = DEMO_ADMIN_PASSWORD in apps/api/.env)</t>
        </is>
      </c>
    </row>
    <row r="15">
      <c r="A15" s="5" t="inlineStr">
        <is>
          <t>API</t>
        </is>
      </c>
      <c r="B15" s="6" t="inlineStr">
        <is>
          <t>http://localhost:3000   (the emulator reaches it as http://10.0.2.2:3000)</t>
        </is>
      </c>
    </row>
    <row r="16">
      <c r="A16" s="5" t="inlineStr">
        <is>
          <t>Phone sign-ins</t>
        </is>
      </c>
      <c r="B16" s="6" t="inlineStr">
        <is>
          <t>demo.passenger@masari.app, demo.driver@masari.app (and demo.driver2@masari.app), demo.merchant@masari.app. Passwords: DEMO_PASSENGER_PASSWORD, DEMO_DRIVER_PASSWORD, DEMO_MERCHANT_PASSWORD in apps/api/.env</t>
        </is>
      </c>
    </row>
    <row r="17">
      <c r="A17" s="5" t="inlineStr">
        <is>
          <t>Sign-up invitation codes</t>
        </is>
      </c>
      <c r="B17" s="6" t="inlineStr">
        <is>
          <t>.staging-data/test-env/invitations.txt   (passenger +970590002001, driver +970590002002, merchant +970590002003)</t>
        </is>
      </c>
    </row>
    <row r="18">
      <c r="A18" s="5" t="inlineStr">
        <is>
          <t>One-time SMS codes</t>
        </is>
      </c>
      <c r="B18" s="6" t="inlineStr">
        <is>
          <t>No real SMS is sent. Open .staging-data/test-env/otp.txt and use the newest line.  Email sign-up and password-reset codes: the newest line for that email in .staging-data/test-env/email-codes.txt.</t>
        </is>
      </c>
    </row>
    <row r="19">
      <c r="A19" s="5" t="inlineStr">
        <is>
          <t>Sample files on the emulator</t>
        </is>
      </c>
      <c r="B19" s="6" t="inlineStr">
        <is>
          <t>licence.jpg (valid), vehicle-registration.pdf (valid), not-really-an-image.jpg (text pretending to be a photo) - all in Downloads</t>
        </is>
      </c>
    </row>
    <row r="20">
      <c r="A20" s="5" t="inlineStr">
        <is>
          <t>Demo accounts waiting for review</t>
        </is>
      </c>
      <c r="B20" s="6" t="inlineStr">
        <is>
          <t>Demo Pending Merchant, Demo Pending Driver, Demo Rejected Driver</t>
        </is>
      </c>
    </row>
    <row r="21">
      <c r="A21" s="5" t="inlineStr">
        <is>
          <t>Start everything</t>
        </is>
      </c>
      <c r="B21" s="6" t="inlineStr">
        <is>
          <t>pwsh -NoProfile -File scripts/test-env/start.ps1</t>
        </is>
      </c>
    </row>
    <row r="22">
      <c r="A22" s="5" t="inlineStr">
        <is>
          <t>Back to a clean start</t>
        </is>
      </c>
      <c r="B22" s="6" t="inlineStr">
        <is>
          <t>pwsh -NoProfile -File scripts/test-env/reset-data.ps1   (do this before repeating sign-up or approval tests: they use things up)</t>
        </is>
      </c>
    </row>
    <row r="23">
      <c r="A23" s="5" t="inlineStr">
        <is>
          <t>Stop everything</t>
        </is>
      </c>
      <c r="B23" s="6" t="inlineStr">
        <is>
          <t>pwsh -NoProfile -File scripts/test-env/stop.ps1</t>
        </is>
      </c>
    </row>
    <row r="24">
      <c r="A24" s="5" t="inlineStr">
        <is>
          <t>Maps are grey or empty?</t>
        </is>
      </c>
      <c r="B24" s="6" t="inlineStr">
        <is>
          <t>The maps load tiles from OpenStreetMap, so the emulator needs internet. If a map is a grey box, close the emulator and start it again with: emulator -avd Medium_Phone_API_36.0 -no-snapshot-load -dns-server 8.8.8.8,1.1.1.1</t>
        </is>
      </c>
    </row>
    <row r="25"/>
    <row r="26">
      <c r="A26" s="3" t="inlineStr">
        <is>
          <t>NOT IN SCOPE (do not report as bugs)</t>
        </is>
      </c>
      <c r="B26" s="4" t="n"/>
    </row>
    <row r="27">
      <c r="A27" s="5" t="inlineStr"/>
      <c r="B27" s="6" t="inlineStr">
        <is>
          <t>Real SMS delivery (codes come from otp.txt), push notifications, payments and real money movement (route fares are display-only estimates; earnings amounts are not tracked), live tracking, PDF or Excel exports, maps and checkpoint feeds (switched off), and anything on a real server.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58" customWidth="1" min="3" max="3"/>
    <col width="52" customWidth="1" min="4" max="4"/>
    <col width="11" customWidth="1" min="5" max="5"/>
    <col width="48" customWidth="1" min="6" max="6"/>
  </cols>
  <sheetData>
    <row r="1" ht="22" customHeight="1">
      <c r="A1" s="8" t="inlineStr">
        <is>
          <t>ID</t>
        </is>
      </c>
      <c r="B1" s="8" t="inlineStr">
        <is>
          <t>Area</t>
        </is>
      </c>
      <c r="C1" s="8" t="inlineStr">
        <is>
          <t>What to do</t>
        </is>
      </c>
      <c r="D1" s="8" t="inlineStr">
        <is>
          <t>What you should see</t>
        </is>
      </c>
      <c r="E1" s="8" t="inlineStr">
        <is>
          <t>Result</t>
        </is>
      </c>
      <c r="F1" s="8" t="inlineStr">
        <is>
          <t>What you saw (notes)</t>
        </is>
      </c>
    </row>
    <row r="2">
      <c r="A2" s="9" t="inlineStr">
        <is>
          <t>A01</t>
        </is>
      </c>
      <c r="B2" s="10" t="inlineStr">
        <is>
          <t>Admin site</t>
        </is>
      </c>
      <c r="C2" s="10" t="inlineStr">
        <is>
          <t>Open the site, sign in as the Admin</t>
        </is>
      </c>
      <c r="D2" s="10" t="inlineStr">
        <is>
          <t>Overview opens; your name shows in the header</t>
        </is>
      </c>
      <c r="E2" s="11" t="n"/>
      <c r="F2" s="11" t="n"/>
    </row>
    <row r="3">
      <c r="A3" s="9" t="inlineStr">
        <is>
          <t>A02</t>
        </is>
      </c>
      <c r="B3" s="10" t="inlineStr">
        <is>
          <t>Admin site</t>
        </is>
      </c>
      <c r="C3" s="10" t="inlineStr">
        <is>
          <t>Sign in with a wrong password</t>
        </is>
      </c>
      <c r="D3" s="10" t="inlineStr">
        <is>
          <t>A clear error; you stay on the sign-in screen</t>
        </is>
      </c>
      <c r="E3" s="11" t="n"/>
      <c r="F3" s="11" t="n"/>
    </row>
    <row r="4">
      <c r="A4" s="9" t="inlineStr">
        <is>
          <t>A03</t>
        </is>
      </c>
      <c r="B4" s="10" t="inlineStr">
        <is>
          <t>Admin site</t>
        </is>
      </c>
      <c r="C4" s="10" t="inlineStr">
        <is>
          <t>Switch Arabic ⇄ English</t>
        </is>
      </c>
      <c r="D4" s="10" t="inlineStr">
        <is>
          <t>Whole page flips language and direction (right-to-left in Arabic); nothing overlaps or is cut off</t>
        </is>
      </c>
      <c r="E4" s="11" t="n"/>
      <c r="F4" s="11" t="n"/>
    </row>
    <row r="5">
      <c r="A5" s="9" t="inlineStr">
        <is>
          <t>A04</t>
        </is>
      </c>
      <c r="B5" s="10" t="inlineStr">
        <is>
          <t>Admin site</t>
        </is>
      </c>
      <c r="C5" s="10" t="inlineStr">
        <is>
          <t>Open every item in the left menu, one by one</t>
        </is>
      </c>
      <c r="D5" s="10" t="inlineStr">
        <is>
          <t>Each page opens without a crash. Pages that are not built say so plainly (no fake numbers)</t>
        </is>
      </c>
      <c r="E5" s="11" t="n"/>
      <c r="F5" s="11" t="n"/>
    </row>
    <row r="6">
      <c r="A6" s="9" t="inlineStr">
        <is>
          <t>A05</t>
        </is>
      </c>
      <c r="B6" s="10" t="inlineStr">
        <is>
          <t>Admin site</t>
        </is>
      </c>
      <c r="C6" s="10" t="inlineStr">
        <is>
          <t>Overview cards</t>
        </is>
      </c>
      <c r="D6" s="10" t="inlineStr">
        <is>
          <t>Active drivers, Pending approvals (1 right after a reset: the pending demo driver) and Incidents show numbers, not errors</t>
        </is>
      </c>
      <c r="E6" s="11" t="n"/>
      <c r="F6" s="11" t="n"/>
    </row>
    <row r="7">
      <c r="A7" s="9" t="inlineStr">
        <is>
          <t>A06</t>
        </is>
      </c>
      <c r="B7" s="10" t="inlineStr">
        <is>
          <t>Admin site</t>
        </is>
      </c>
      <c r="C7" s="10" t="inlineStr">
        <is>
          <t>Users: search by name, filter by role and status</t>
        </is>
      </c>
      <c r="D7" s="10" t="inlineStr">
        <is>
          <t>Lists narrow correctly; the pending/rejected demo accounts are findable</t>
        </is>
      </c>
      <c r="E7" s="11" t="n"/>
      <c r="F7" s="11" t="n"/>
    </row>
    <row r="8">
      <c r="A8" s="9" t="inlineStr">
        <is>
          <t>A07</t>
        </is>
      </c>
      <c r="B8" s="10" t="inlineStr">
        <is>
          <t>Admin site</t>
        </is>
      </c>
      <c r="C8" s="10" t="inlineStr">
        <is>
          <t>Users: open a user</t>
        </is>
      </c>
      <c r="D8" s="10" t="inlineStr">
        <is>
          <t>Detail shows role, status and no passwords or tokens</t>
        </is>
      </c>
      <c r="E8" s="11" t="n"/>
      <c r="F8" s="11" t="n"/>
    </row>
    <row r="9">
      <c r="A9" s="9" t="inlineStr">
        <is>
          <t>A08</t>
        </is>
      </c>
      <c r="B9" s="10" t="inlineStr">
        <is>
          <t>Admin site</t>
        </is>
      </c>
      <c r="C9" s="10" t="inlineStr">
        <is>
          <t>Users: suspend a demo passenger with a reason, then reactivate</t>
        </is>
      </c>
      <c r="D9" s="10" t="inlineStr">
        <is>
          <t>Status changes and shows in the list; the reason is required for suspend</t>
        </is>
      </c>
      <c r="E9" s="11" t="n"/>
      <c r="F9" s="11" t="n"/>
    </row>
    <row r="10">
      <c r="A10" s="9" t="inlineStr">
        <is>
          <t>A09</t>
        </is>
      </c>
      <c r="B10" s="10" t="inlineStr">
        <is>
          <t>Admin site</t>
        </is>
      </c>
      <c r="C10" s="10" t="inlineStr">
        <is>
          <t>Merchant approval: Users → filter Pending → Demo Pending Merchant → Approve</t>
        </is>
      </c>
      <c r="D10" s="10" t="inlineStr">
        <is>
          <t>Account becomes active. (Then sign that merchant in on the phone: it works)</t>
        </is>
      </c>
      <c r="E10" s="11" t="n"/>
      <c r="F10" s="11" t="n"/>
    </row>
    <row r="11">
      <c r="A11" s="9" t="inlineStr">
        <is>
          <t>A10</t>
        </is>
      </c>
      <c r="B11" s="10" t="inlineStr">
        <is>
          <t>Admin site</t>
        </is>
      </c>
      <c r="C11" s="10" t="inlineStr">
        <is>
          <t>Reject a different pending merchant (use reset first if none left) with no reason, then with a reason</t>
        </is>
      </c>
      <c r="D11" s="10" t="inlineStr">
        <is>
          <t>Without a reason it refuses; with one the account is disabled</t>
        </is>
      </c>
      <c r="E11" s="11" t="n"/>
      <c r="F11" s="11" t="n"/>
    </row>
    <row r="12">
      <c r="A12" s="9" t="inlineStr">
        <is>
          <t>A11</t>
        </is>
      </c>
      <c r="B12" s="10" t="inlineStr">
        <is>
          <t>Admin site</t>
        </is>
      </c>
      <c r="C12" s="10" t="inlineStr">
        <is>
          <t>Drivers &amp; verification → Pending → Demo Pending Driver</t>
        </is>
      </c>
      <c r="D12" s="10" t="inlineStr">
        <is>
          <t>Review panel opens with profile, vehicle section and a decision area</t>
        </is>
      </c>
      <c r="E12" s="11" t="n"/>
      <c r="F12" s="11" t="n"/>
    </row>
    <row r="13">
      <c r="A13" s="9" t="inlineStr">
        <is>
          <t>A12</t>
        </is>
      </c>
      <c r="B13" s="10" t="inlineStr">
        <is>
          <t>Admin site</t>
        </is>
      </c>
      <c r="C13" s="10" t="inlineStr">
        <is>
          <t>In that review, record evidence: choose "Driver licence", add a short note, Record sighting</t>
        </is>
      </c>
      <c r="D13" s="10" t="inlineStr">
        <is>
          <t>It appears in the list with your name and time; the status text changes from "not collected"</t>
        </is>
      </c>
      <c r="E13" s="11" t="n"/>
      <c r="F13" s="11" t="n"/>
    </row>
    <row r="14">
      <c r="A14" s="9" t="inlineStr">
        <is>
          <t>A13</t>
        </is>
      </c>
      <c r="B14" s="10" t="inlineStr">
        <is>
          <t>Admin site</t>
        </is>
      </c>
      <c r="C14" s="10" t="inlineStr">
        <is>
          <t>Approve the pending driver (enter a vehicle type, seats, parcel capacity)</t>
        </is>
      </c>
      <c r="D14" s="10" t="inlineStr">
        <is>
          <t>Status Approved; history shows the decision</t>
        </is>
      </c>
      <c r="E14" s="11" t="n"/>
      <c r="F14" s="11" t="n"/>
    </row>
    <row r="15">
      <c r="A15" s="9" t="inlineStr">
        <is>
          <t>A14</t>
        </is>
      </c>
      <c r="B15" s="10" t="inlineStr">
        <is>
          <t>Admin site</t>
        </is>
      </c>
      <c r="C15" s="10" t="inlineStr">
        <is>
          <t>Drivers → Rejected → Demo Rejected Driver → Reopen for review (give a reason)</t>
        </is>
      </c>
      <c r="D15" s="10" t="inlineStr">
        <is>
          <t>It returns to Pending; history keeps the earlier rejection and shows "Reopened"</t>
        </is>
      </c>
      <c r="E15" s="11" t="n"/>
      <c r="F15" s="11" t="n"/>
    </row>
    <row r="16">
      <c r="A16" s="9" t="inlineStr">
        <is>
          <t>A15</t>
        </is>
      </c>
      <c r="B16" s="10" t="inlineStr">
        <is>
          <t>Admin site</t>
        </is>
      </c>
      <c r="C16" s="10" t="inlineStr">
        <is>
          <t>Reject a pending driver without a reason</t>
        </is>
      </c>
      <c r="D16" s="10" t="inlineStr">
        <is>
          <t>It refuses; with a reason it works</t>
        </is>
      </c>
      <c r="E16" s="11" t="n"/>
      <c r="F16" s="11" t="n"/>
    </row>
    <row r="17">
      <c r="A17" s="9" t="inlineStr">
        <is>
          <t>A16</t>
        </is>
      </c>
      <c r="B17" s="10" t="inlineStr">
        <is>
          <t>Admin site</t>
        </is>
      </c>
      <c r="C17" s="10" t="inlineStr">
        <is>
          <t>Incidents (after a phone report, see E07)</t>
        </is>
      </c>
      <c r="D17" s="10" t="inlineStr">
        <is>
          <t>The report is listed as New; Start review with a note, then Mark resolved; Resolved cannot be changed back</t>
        </is>
      </c>
      <c r="E17" s="11" t="n"/>
      <c r="F17" s="11" t="n"/>
    </row>
    <row r="18">
      <c r="A18" s="9" t="inlineStr">
        <is>
          <t>A17</t>
        </is>
      </c>
      <c r="B18" s="10" t="inlineStr">
        <is>
          <t>Admin site</t>
        </is>
      </c>
      <c r="C18" s="10" t="inlineStr">
        <is>
          <t>Reports page: change dates, download all three CSV files</t>
        </is>
      </c>
      <c r="D18" s="10" t="inlineStr">
        <is>
          <t>Numbers match the lists; files open (Arabic text readable in Excel)</t>
        </is>
      </c>
      <c r="E18" s="11" t="n"/>
      <c r="F18" s="11" t="n"/>
    </row>
    <row r="19">
      <c r="A19" s="9" t="inlineStr">
        <is>
          <t>A18</t>
        </is>
      </c>
      <c r="B19" s="10" t="inlineStr">
        <is>
          <t>Admin site</t>
        </is>
      </c>
      <c r="C19" s="10" t="inlineStr">
        <is>
          <t>Matching, Shipments &amp; batching, Trips &amp; tracking, Comparison pages</t>
        </is>
      </c>
      <c r="D19" s="10" t="inlineStr">
        <is>
          <t>They show the seeded demo data (the combined passenger+parcel trip, the 1-trip-vs-6 comparison) without errors</t>
        </is>
      </c>
      <c r="E19" s="11" t="n"/>
      <c r="F19" s="11" t="n"/>
    </row>
    <row r="20">
      <c r="A20" s="9" t="inlineStr">
        <is>
          <t>A19</t>
        </is>
      </c>
      <c r="B20" s="10" t="inlineStr">
        <is>
          <t>Admin site</t>
        </is>
      </c>
      <c r="C20" s="10" t="inlineStr">
        <is>
          <t>Sign out, then press the browser Back button</t>
        </is>
      </c>
      <c r="D20" s="10" t="inlineStr">
        <is>
          <t>You are not let back into the Admin pages</t>
        </is>
      </c>
      <c r="E20" s="11" t="n"/>
      <c r="F20" s="11" t="n"/>
    </row>
    <row r="21">
      <c r="A21" s="9" t="inlineStr">
        <is>
          <t>A20</t>
        </is>
      </c>
      <c r="B21" s="10" t="inlineStr">
        <is>
          <t>Admin site</t>
        </is>
      </c>
      <c r="C21" s="10" t="inlineStr">
        <is>
          <t>Reports page → Success metrics (or GET /api/v1/admin/success-metrics, and /export for the CSV): open it as the Admin, then try it as a passenger and without signing in</t>
        </is>
      </c>
      <c r="D21" s="10" t="inlineStr">
        <is>
          <t>Admin: figures for the last 30 days with the previous period for comparison, a CSV download; passenger: refused (403); not signed in: 401; a start date after the end date, or a range over a year, is refused</t>
        </is>
      </c>
      <c r="E21" s="11" t="n"/>
      <c r="F21" s="11" t="n"/>
    </row>
    <row r="22">
      <c r="A22" s="9" t="inlineStr">
        <is>
          <t>A21</t>
        </is>
      </c>
      <c r="B22" s="10" t="inlineStr">
        <is>
          <t>Admin site</t>
        </is>
      </c>
      <c r="C22" s="10" t="inlineStr">
        <is>
          <t>Matching / Batching page → Simulated comparison tab (or GET /api/v1/compare/simulation?seed=7)</t>
        </is>
      </c>
      <c r="D22" s="10" t="inlineStr">
        <is>
          <t>Manual, nearest-driver and Masari results, labelled as simulated; the same seed always gives the same numbers, another seed differs; nothing is written; passengers cannot call it</t>
        </is>
      </c>
      <c r="E22" s="11" t="n"/>
      <c r="F22" s="11" t="n"/>
    </row>
    <row r="23">
      <c r="A23" s="9" t="inlineStr">
        <is>
          <t>B01</t>
        </is>
      </c>
      <c r="B23" s="10" t="inlineStr">
        <is>
          <t>Phone: signing in</t>
        </is>
      </c>
      <c r="C23" s="10" t="inlineStr">
        <is>
          <t>Open the app</t>
        </is>
      </c>
      <c r="D23" s="10" t="inlineStr">
        <is>
          <t>Sign-in screen, Arabic by default, right-to-left</t>
        </is>
      </c>
      <c r="E23" s="11" t="n"/>
      <c r="F23" s="11" t="n"/>
    </row>
    <row r="24">
      <c r="A24" s="9" t="inlineStr">
        <is>
          <t>B02</t>
        </is>
      </c>
      <c r="B24" s="10" t="inlineStr">
        <is>
          <t>Phone: signing in</t>
        </is>
      </c>
      <c r="C24" s="10" t="inlineStr">
        <is>
          <t>Switch to English with the globe icon</t>
        </is>
      </c>
      <c r="D24" s="10" t="inlineStr">
        <is>
          <t>Everything flips to English, left-to-right; switch back works</t>
        </is>
      </c>
      <c r="E24" s="11" t="n"/>
      <c r="F24" s="11" t="n"/>
    </row>
    <row r="25">
      <c r="A25" s="9" t="inlineStr">
        <is>
          <t>B03</t>
        </is>
      </c>
      <c r="B25" s="10" t="inlineStr">
        <is>
          <t>Phone: signing in</t>
        </is>
      </c>
      <c r="C25" s="10" t="inlineStr">
        <is>
          <t>Wrong email/password</t>
        </is>
      </c>
      <c r="D25" s="10" t="inlineStr">
        <is>
          <t>A clear "incorrect" message, not a crash or a network error</t>
        </is>
      </c>
      <c r="E25" s="11" t="n"/>
      <c r="F25" s="11" t="n"/>
    </row>
    <row r="26">
      <c r="A26" s="9" t="inlineStr">
        <is>
          <t>B04</t>
        </is>
      </c>
      <c r="B26" s="10" t="inlineStr">
        <is>
          <t>Phone: signing in</t>
        </is>
      </c>
      <c r="C26" s="10" t="inlineStr">
        <is>
          <t>Sign in as the demo passenger</t>
        </is>
      </c>
      <c r="D26" s="10" t="inlineStr">
        <is>
          <t>Passenger home opens</t>
        </is>
      </c>
      <c r="E26" s="11" t="n"/>
      <c r="F26" s="11" t="n"/>
    </row>
    <row r="27">
      <c r="A27" s="9" t="inlineStr">
        <is>
          <t>B05</t>
        </is>
      </c>
      <c r="B27" s="10" t="inlineStr">
        <is>
          <t>Phone: signing in</t>
        </is>
      </c>
      <c r="C27" s="10" t="inlineStr">
        <is>
          <t>Sign out, sign in as the demo driver, then the demo merchant</t>
        </is>
      </c>
      <c r="D27" s="10" t="inlineStr">
        <is>
          <t>Each role sees its own home and tabs, and none of the other roles' screens</t>
        </is>
      </c>
      <c r="E27" s="11" t="n"/>
      <c r="F27" s="11" t="n"/>
    </row>
    <row r="28">
      <c r="A28" s="9" t="inlineStr">
        <is>
          <t>B06</t>
        </is>
      </c>
      <c r="B28" s="10" t="inlineStr">
        <is>
          <t>Phone: signing in</t>
        </is>
      </c>
      <c r="C28" s="10" t="inlineStr">
        <is>
          <t>Close the app completely and reopen it</t>
        </is>
      </c>
      <c r="D28" s="10" t="inlineStr">
        <is>
          <t>You are still signed in (or sent to sign-in, but never to a broken screen)</t>
        </is>
      </c>
      <c r="E28" s="11" t="n"/>
      <c r="F28" s="11" t="n"/>
    </row>
    <row r="29">
      <c r="A29" s="9" t="inlineStr">
        <is>
          <t>B07</t>
        </is>
      </c>
      <c r="B29" s="10" t="inlineStr">
        <is>
          <t>Phone: signing in</t>
        </is>
      </c>
      <c r="C29" s="10" t="inlineStr">
        <is>
          <t>Turn the emulator's internet off (airplane mode) and open a list</t>
        </is>
      </c>
      <c r="D29" s="10" t="inlineStr">
        <is>
          <t>A friendly offline/error message with a retry; no crash</t>
        </is>
      </c>
      <c r="E29" s="11" t="n"/>
      <c r="F29" s="11" t="n"/>
    </row>
    <row r="30">
      <c r="A30" s="9" t="inlineStr">
        <is>
          <t>C01</t>
        </is>
      </c>
      <c r="B30" s="10" t="inlineStr">
        <is>
          <t>Phone: sign-up (invitation or open)</t>
        </is>
      </c>
      <c r="C30" s="10" t="inlineStr">
        <is>
          <t>Sign-in screen → "New to Masari? Create an account"</t>
        </is>
      </c>
      <c r="D30" s="10" t="inlineStr">
        <is>
          <t>A screen asks "How will you use Masari?" with three choices: Normal user, Driver, Shop owner. Normal user opens the email sign-up form; Driver and Shop owner open the invitation-code and phone screen with the role already chosen; Back returns to sign-in</t>
        </is>
      </c>
      <c r="E30" s="11" t="n"/>
      <c r="F30" s="11" t="n"/>
    </row>
    <row r="31">
      <c r="A31" s="9" t="inlineStr">
        <is>
          <t>C02</t>
        </is>
      </c>
      <c r="B31" s="10" t="inlineStr">
        <is>
          <t>Phone: sign-up (invitation or open)</t>
        </is>
      </c>
      <c r="C31" s="10" t="inlineStr">
        <is>
          <t>Enter a wrong code</t>
        </is>
      </c>
      <c r="D31" s="10" t="inlineStr">
        <is>
          <t>A clear error; you can try again</t>
        </is>
      </c>
      <c r="E31" s="11" t="n"/>
      <c r="F31" s="11" t="n"/>
    </row>
    <row r="32">
      <c r="A32" s="9" t="inlineStr">
        <is>
          <t>C03</t>
        </is>
      </c>
      <c r="B32" s="10" t="inlineStr">
        <is>
          <t>Phone: sign-up (invitation or open)</t>
        </is>
      </c>
      <c r="C32" s="10" t="inlineStr">
        <is>
          <t>Choose Shop owner (invitation code and +970590002003), enter the right code (from otp.txt), then name, a password of at least 15 characters, tick the three consents, Create account</t>
        </is>
      </c>
      <c r="D32" s="10" t="inlineStr">
        <is>
          <t>Account created; the screen says the account is pending and an admin review usually takes up to 24 hours</t>
        </is>
      </c>
      <c r="E32" s="11" t="n"/>
      <c r="F32" s="11" t="n"/>
    </row>
    <row r="33">
      <c r="A33" s="9" t="inlineStr">
        <is>
          <t>C04</t>
        </is>
      </c>
      <c r="B33" s="10" t="inlineStr">
        <is>
          <t>Phone: sign-up (invitation or open)</t>
        </is>
      </c>
      <c r="C33" s="10" t="inlineStr">
        <is>
          <t>Repeat for the driver (+970590002002)</t>
        </is>
      </c>
      <c r="D33" s="10" t="inlineStr">
        <is>
          <t>The screen says "Application under review" and shows a "Verification documents" card</t>
        </is>
      </c>
      <c r="E33" s="11" t="n"/>
      <c r="F33" s="11" t="n"/>
    </row>
    <row r="34">
      <c r="A34" s="9" t="inlineStr">
        <is>
          <t>C05</t>
        </is>
      </c>
      <c r="B34" s="10" t="inlineStr">
        <is>
          <t>Phone: sign-up (invitation or open)</t>
        </is>
      </c>
      <c r="C34" s="10" t="inlineStr">
        <is>
          <t>Driver: Add a document → choose licence.jpg (type "Driving licence")</t>
        </is>
      </c>
      <c r="D34" s="10" t="inlineStr">
        <is>
          <t>It appears in the list as "Driving licence · 1 KB"</t>
        </is>
      </c>
      <c r="E34" s="11" t="n"/>
      <c r="F34" s="11" t="n"/>
    </row>
    <row r="35">
      <c r="A35" s="9" t="inlineStr">
        <is>
          <t>C06</t>
        </is>
      </c>
      <c r="B35" s="10" t="inlineStr">
        <is>
          <t>Phone: sign-up (invitation or open)</t>
        </is>
      </c>
      <c r="C35" s="10" t="inlineStr">
        <is>
          <t>Add vehicle-registration.pdf with type "Vehicle registration"</t>
        </is>
      </c>
      <c r="D35" s="10" t="inlineStr">
        <is>
          <t>It appears in the list</t>
        </is>
      </c>
      <c r="E35" s="11" t="n"/>
      <c r="F35" s="11" t="n"/>
    </row>
    <row r="36">
      <c r="A36" s="9" t="inlineStr">
        <is>
          <t>C07</t>
        </is>
      </c>
      <c r="B36" s="10" t="inlineStr">
        <is>
          <t>Phone: sign-up (invitation or open)</t>
        </is>
      </c>
      <c r="C36" s="10" t="inlineStr">
        <is>
          <t>Add not-really-an-image.jpg</t>
        </is>
      </c>
      <c r="D36" s="10" t="inlineStr">
        <is>
          <t>Refused with "Only JPEG, PNG or PDF files can be uploaded"; nothing added</t>
        </is>
      </c>
      <c r="E36" s="11" t="n"/>
      <c r="F36" s="11" t="n"/>
    </row>
    <row r="37">
      <c r="A37" s="9" t="inlineStr">
        <is>
          <t>C08</t>
        </is>
      </c>
      <c r="B37" s="10" t="inlineStr">
        <is>
          <t>Phone: sign-up (invitation or open)</t>
        </is>
      </c>
      <c r="C37" s="10" t="inlineStr">
        <is>
          <t>Tap the bin on one document</t>
        </is>
      </c>
      <c r="D37" s="10" t="inlineStr">
        <is>
          <t>It disappears from the list</t>
        </is>
      </c>
      <c r="E37" s="11" t="n"/>
      <c r="F37" s="11" t="n"/>
    </row>
    <row r="38">
      <c r="A38" s="9" t="inlineStr">
        <is>
          <t>C09</t>
        </is>
      </c>
      <c r="B38" s="10" t="inlineStr">
        <is>
          <t>Phone: sign-up (invitation or open)</t>
        </is>
      </c>
      <c r="C38" s="10" t="inlineStr">
        <is>
          <t>Try to add more than 6 documents</t>
        </is>
      </c>
      <c r="D38" s="10" t="inlineStr">
        <is>
          <t>After 6 the Add button is disabled or a limit message shows</t>
        </is>
      </c>
      <c r="E38" s="11" t="n"/>
      <c r="F38" s="11" t="n"/>
    </row>
    <row r="39">
      <c r="A39" s="9" t="inlineStr">
        <is>
          <t>C10</t>
        </is>
      </c>
      <c r="B39" s="10" t="inlineStr">
        <is>
          <t>Phone: sign-up (invitation or open)</t>
        </is>
      </c>
      <c r="C39" s="10" t="inlineStr">
        <is>
          <t>In the Admin site, open that driver's review</t>
        </is>
      </c>
      <c r="D39" s="10" t="inlineStr">
        <is>
          <t>The uploaded documents are listed with a Download button; the downloaded file opens and is the right file</t>
        </is>
      </c>
      <c r="E39" s="11" t="n"/>
      <c r="F39" s="11" t="n"/>
    </row>
    <row r="40">
      <c r="A40" s="9" t="inlineStr">
        <is>
          <t>C11</t>
        </is>
      </c>
      <c r="B40" s="10" t="inlineStr">
        <is>
          <t>Phone: sign-up (invitation or open)</t>
        </is>
      </c>
      <c r="C40" s="10" t="inlineStr">
        <is>
          <t>Try to sign in on the phone as the new (pending) driver</t>
        </is>
      </c>
      <c r="D40" s="10" t="inlineStr">
        <is>
          <t>You are not let in (account pending), with a clear message</t>
        </is>
      </c>
      <c r="E40" s="11" t="n"/>
      <c r="F40" s="11" t="n"/>
    </row>
    <row r="41">
      <c r="A41" s="9" t="inlineStr">
        <is>
          <t>C12</t>
        </is>
      </c>
      <c r="B41" s="10" t="inlineStr">
        <is>
          <t>Phone: sign-up (invitation or open)</t>
        </is>
      </c>
      <c r="C41" s="10" t="inlineStr">
        <is>
          <t>Admin approves that driver (A13), then press Refresh in the app's pending screen</t>
        </is>
      </c>
      <c r="D41" s="10" t="inlineStr">
        <is>
          <t>It now says approved and offers sign-in; sign-in works</t>
        </is>
      </c>
      <c r="E41" s="11" t="n"/>
      <c r="F41" s="11" t="n"/>
    </row>
    <row r="42">
      <c r="A42" s="9" t="inlineStr">
        <is>
          <t>C13</t>
        </is>
      </c>
      <c r="B42" s="10" t="inlineStr">
        <is>
          <t>Phone: sign-up (invitation or open)</t>
        </is>
      </c>
      <c r="C42" s="10" t="inlineStr">
        <is>
          <t>Admin approves the shop owner from C03 (A09), then sign in on the phone with their phone number and password</t>
        </is>
      </c>
      <c r="D42" s="10" t="inlineStr">
        <is>
          <t>Same pending → approved path; the merchant home opens</t>
        </is>
      </c>
      <c r="E42" s="11" t="n"/>
      <c r="F42" s="11" t="n"/>
    </row>
    <row r="43">
      <c r="A43" s="9" t="inlineStr">
        <is>
          <t>C14</t>
        </is>
      </c>
      <c r="B43" s="10" t="inlineStr">
        <is>
          <t>Phone: sign-up (invitation or open)</t>
        </is>
      </c>
      <c r="C43" s="10" t="inlineStr">
        <is>
          <t>Use an invitation code twice, or a code with the wrong phone</t>
        </is>
      </c>
      <c r="D43" s="10" t="inlineStr">
        <is>
          <t>Refused without revealing why</t>
        </is>
      </c>
      <c r="E43" s="11" t="n"/>
      <c r="F43" s="11" t="n"/>
    </row>
    <row r="44">
      <c r="A44" s="9" t="inlineStr">
        <is>
          <t>C15</t>
        </is>
      </c>
      <c r="B44" s="10" t="inlineStr">
        <is>
          <t>Phone: sign-up (invitation or open)</t>
        </is>
      </c>
      <c r="C44" s="10" t="inlineStr">
        <is>
          <t>Sign-in screen → "Check an existing application" with a pending applicant's phone and password</t>
        </is>
      </c>
      <c r="D44" s="10" t="inlineStr">
        <is>
          <t>Shows the application status</t>
        </is>
      </c>
      <c r="E44" s="11" t="n"/>
      <c r="F44" s="11" t="n"/>
    </row>
    <row r="45">
      <c r="A45" s="9" t="inlineStr">
        <is>
          <t>C16</t>
        </is>
      </c>
      <c r="B45" s="10" t="inlineStr">
        <is>
          <t>Phone: sign-up (invitation or open)</t>
        </is>
      </c>
      <c r="C45" s="10" t="inlineStr">
        <is>
          <t>Shop owner (pending, from C03): Add a document → choose licence.jpg (type "Commercial register")</t>
        </is>
      </c>
      <c r="D45" s="10" t="inlineStr">
        <is>
          <t>The pending screen shows "Verification documents" asking for the commercial register, national ID and shop photo; the file appears in the list as "Commercial register · 1 KB"</t>
        </is>
      </c>
      <c r="E45" s="11" t="n"/>
      <c r="F45" s="11" t="n"/>
    </row>
    <row r="46">
      <c r="A46" s="9" t="inlineStr">
        <is>
          <t>C17</t>
        </is>
      </c>
      <c r="B46" s="10" t="inlineStr">
        <is>
          <t>Phone: sign-up (invitation or open)</t>
        </is>
      </c>
      <c r="C46" s="10" t="inlineStr">
        <is>
          <t>In the Admin site, Users → the pending shop owner → Approve (or Reject)</t>
        </is>
      </c>
      <c r="D46" s="10" t="inlineStr">
        <is>
          <t>The shop owner's documents are listed with a Download button before you decide; the downloaded file opens and is the right file</t>
        </is>
      </c>
      <c r="E46" s="11" t="n"/>
      <c r="F46" s="11" t="n"/>
    </row>
    <row r="47">
      <c r="A47" s="9" t="inlineStr">
        <is>
          <t>C18</t>
        </is>
      </c>
      <c r="B47" s="10" t="inlineStr">
        <is>
          <t>Phone: sign-up (invitation or open)</t>
        </is>
      </c>
      <c r="C47" s="10" t="inlineStr">
        <is>
          <t>Create account → Normal user → name, an email ending in @example.com, a password of at least 12 characters → Sign up; type the six-digit code from email-codes.txt, tick the three documents, Continue; then enter a phone such as +970590003020, Send code, type the code from otp.txt, Continue</t>
        </is>
      </c>
      <c r="D47" s="10" t="inlineStr">
        <is>
          <t>The passenger home opens; no invitation code and no admin approval were needed</t>
        </is>
      </c>
      <c r="E47" s="11" t="n"/>
      <c r="F47" s="11" t="n"/>
    </row>
    <row r="48">
      <c r="A48" s="9" t="inlineStr">
        <is>
          <t>C19</t>
        </is>
      </c>
      <c r="B48" s="10" t="inlineStr">
        <is>
          <t>Phone: sign-up (invitation or open)</t>
        </is>
      </c>
      <c r="C48" s="10" t="inlineStr">
        <is>
          <t>Open registration (the local test environment turns it on). Create account → Driver. Leave the invitation code empty (it says "Invitation code (optional)"), enter a new phone such as +970590004001, Send code, type the code from otp.txt</t>
        </is>
      </c>
      <c r="D48" s="10" t="inlineStr">
        <is>
          <t>The code screen opens without any invitation code</t>
        </is>
      </c>
      <c r="E48" s="11" t="n"/>
      <c r="F48" s="11" t="n"/>
    </row>
    <row r="49">
      <c r="A49" s="9" t="inlineStr">
        <is>
          <t>C20</t>
        </is>
      </c>
      <c r="B49" s="10" t="inlineStr">
        <is>
          <t>Phone: sign-up (invitation or open)</t>
        </is>
      </c>
      <c r="C49" s="10" t="inlineStr">
        <is>
          <t>Enter a wrong code, then the right one; then name, a password of at least 15 characters, tick the three consents, Create account</t>
        </is>
      </c>
      <c r="D49" s="10" t="inlineStr">
        <is>
          <t>Account created; the screen says "Upload your documents" (not "Application under review"); the button "Send for review" is disabled and lists what is still needed</t>
        </is>
      </c>
      <c r="E49" s="11" t="n"/>
      <c r="F49" s="11" t="n"/>
    </row>
    <row r="50">
      <c r="A50" s="9" t="inlineStr">
        <is>
          <t>C21</t>
        </is>
      </c>
      <c r="B50" s="10" t="inlineStr">
        <is>
          <t>Phone: sign-up (invitation or open)</t>
        </is>
      </c>
      <c r="C50" s="10" t="inlineStr">
        <is>
          <t>Add licence.jpg (Driving licence) and vehicle-registration.pdf (Vehicle registration) only</t>
        </is>
      </c>
      <c r="D50" s="10" t="inlineStr">
        <is>
          <t>"Send for review" stays disabled; "Still needed" names the national ID</t>
        </is>
      </c>
      <c r="E50" s="11" t="n"/>
      <c r="F50" s="11" t="n"/>
    </row>
    <row r="51">
      <c r="A51" s="9" t="inlineStr">
        <is>
          <t>C22</t>
        </is>
      </c>
      <c r="B51" s="10" t="inlineStr">
        <is>
          <t>Phone: sign-up (invitation or open)</t>
        </is>
      </c>
      <c r="C51" s="10" t="inlineStr">
        <is>
          <t>In the Admin site, look in Users and the driver approvals queue for that driver</t>
        </is>
      </c>
      <c r="D51" s="10" t="inlineStr">
        <is>
          <t>The driver is not in the review queue yet; approving or rejecting is refused (not submitted)</t>
        </is>
      </c>
      <c r="E51" s="11" t="n"/>
      <c r="F51" s="11" t="n"/>
    </row>
    <row r="52">
      <c r="A52" s="9" t="inlineStr">
        <is>
          <t>C23</t>
        </is>
      </c>
      <c r="B52" s="10" t="inlineStr">
        <is>
          <t>Phone: sign-up (invitation or open)</t>
        </is>
      </c>
      <c r="C52" s="10" t="inlineStr">
        <is>
          <t>Add a National ID document, then press "Send for review"</t>
        </is>
      </c>
      <c r="D52" s="10" t="inlineStr">
        <is>
          <t>The screen changes to "Application under review" and says review usually takes up to 24 hours</t>
        </is>
      </c>
      <c r="E52" s="11" t="n"/>
      <c r="F52" s="11" t="n"/>
    </row>
    <row r="53">
      <c r="A53" s="9" t="inlineStr">
        <is>
          <t>C24</t>
        </is>
      </c>
      <c r="B53" s="10" t="inlineStr">
        <is>
          <t>Phone: sign-up (invitation or open)</t>
        </is>
      </c>
      <c r="C53" s="10" t="inlineStr">
        <is>
          <t>In the Admin site open the driver approvals queue</t>
        </is>
      </c>
      <c r="D53" s="10" t="inlineStr">
        <is>
          <t>The driver is listed; the three documents have Download buttons and open correctly; Approve works; the phone then signs in</t>
        </is>
      </c>
      <c r="E53" s="11" t="n"/>
      <c r="F53" s="11" t="n"/>
    </row>
    <row r="54">
      <c r="A54" s="9" t="inlineStr">
        <is>
          <t>C25</t>
        </is>
      </c>
      <c r="B54" s="10" t="inlineStr">
        <is>
          <t>Phone: sign-up (invitation or open)</t>
        </is>
      </c>
      <c r="C54" s="10" t="inlineStr">
        <is>
          <t>Create account → Shop owner with no invitation code (+970590004002); upload commercial register and national ID only</t>
        </is>
      </c>
      <c r="D54" s="10" t="inlineStr">
        <is>
          <t>"Send for review" stays disabled until the shop photo is added; then it submits and the shop owner appears in Users as a pending merchant that can be approved</t>
        </is>
      </c>
      <c r="E54" s="11" t="n"/>
      <c r="F54" s="11" t="n"/>
    </row>
    <row r="55">
      <c r="A55" s="9" t="inlineStr">
        <is>
          <t>C26</t>
        </is>
      </c>
      <c r="B55" s="10" t="inlineStr">
        <is>
          <t>Phone: sign-up (invitation or open)</t>
        </is>
      </c>
      <c r="C55" s="10" t="inlineStr">
        <is>
          <t>Open registration, start with a phone number that already has an account, type the code from otp.txt, then fill the form</t>
        </is>
      </c>
      <c r="D55" s="10" t="inlineStr">
        <is>
          <t>The first screens look exactly like a new number; only at Create account does it say the registration could not be completed</t>
        </is>
      </c>
      <c r="E55" s="11" t="n"/>
      <c r="F55" s="11" t="n"/>
    </row>
    <row r="56">
      <c r="A56" s="9" t="inlineStr">
        <is>
          <t>C27</t>
        </is>
      </c>
      <c r="B56" s="10" t="inlineStr">
        <is>
          <t>Phone: sign-up (invitation or open)</t>
        </is>
      </c>
      <c r="C56" s="10" t="inlineStr">
        <is>
          <t>Start sign-up again with the same phone number twice, then use the first code</t>
        </is>
      </c>
      <c r="D56" s="10" t="inlineStr">
        <is>
          <t>The older attempt no longer works; only the newest code and screen continue</t>
        </is>
      </c>
      <c r="E56" s="11" t="n"/>
      <c r="F56" s="11" t="n"/>
    </row>
    <row r="57">
      <c r="A57" s="9" t="inlineStr">
        <is>
          <t>C28</t>
        </is>
      </c>
      <c r="B57" s="10" t="inlineStr">
        <is>
          <t>Phone: sign-up (invitation or open)</t>
        </is>
      </c>
      <c r="C57" s="10" t="inlineStr">
        <is>
          <t>Request a code for the same phone more than 5 times in a day, or start more than 10 sign-ups from the one phone in an hour</t>
        </is>
      </c>
      <c r="D57" s="10" t="inlineStr">
        <is>
          <t>The app shows a "too many attempts" message; no further codes are produced in otp.txt</t>
        </is>
      </c>
      <c r="E57" s="11" t="n"/>
      <c r="F57" s="11" t="n"/>
    </row>
    <row r="58">
      <c r="A58" s="9" t="inlineStr">
        <is>
          <t>C29</t>
        </is>
      </c>
      <c r="B58" s="10" t="inlineStr">
        <is>
          <t>Phone: sign-up (invitation or open)</t>
        </is>
      </c>
      <c r="C58" s="10" t="inlineStr">
        <is>
          <t>Sign-in screen → "Check an existing application" for the C20 driver before documents are sent</t>
        </is>
      </c>
      <c r="D58" s="10" t="inlineStr">
        <is>
          <t>It shows "Upload your documents", not "under review"</t>
        </is>
      </c>
      <c r="E58" s="11" t="n"/>
      <c r="F58" s="11" t="n"/>
    </row>
    <row r="59">
      <c r="A59" s="9" t="inlineStr">
        <is>
          <t>C30</t>
        </is>
      </c>
      <c r="B59" s="10" t="inlineStr">
        <is>
          <t>Phone: sign-up (invitation or open)</t>
        </is>
      </c>
      <c r="C59" s="10" t="inlineStr">
        <is>
          <t>Invitation codes still work: repeat C03 or C04 with a code from invitations.txt</t>
        </is>
      </c>
      <c r="D59" s="10" t="inlineStr">
        <is>
          <t>Created as before; the application is under review at once (no extra "Send for review" step)</t>
        </is>
      </c>
      <c r="E59" s="11" t="n"/>
      <c r="F59" s="11" t="n"/>
    </row>
    <row r="60">
      <c r="A60" s="9" t="inlineStr">
        <is>
          <t>C31</t>
        </is>
      </c>
      <c r="B60" s="10" t="inlineStr">
        <is>
          <t>Phone: sign-up (invitation or open)</t>
        </is>
      </c>
      <c r="C60" s="10" t="inlineStr">
        <is>
          <t>Create account → Normal user → name, email ending @example.com, password of 12+ characters → Sign up; read the code from the newest line for that email in email-codes.txt and type it</t>
        </is>
      </c>
      <c r="D60" s="10" t="inlineStr">
        <is>
          <t>The code is six digits (not a long token) and finishes the sign-up; typing the same code again later does not work</t>
        </is>
      </c>
      <c r="E60" s="11" t="n"/>
      <c r="F60" s="11" t="n"/>
    </row>
    <row r="61">
      <c r="A61" s="9" t="inlineStr">
        <is>
          <t>C32</t>
        </is>
      </c>
      <c r="B61" s="10" t="inlineStr">
        <is>
          <t>Phone: sign-up (invitation or open)</t>
        </is>
      </c>
      <c r="C61" s="10" t="inlineStr">
        <is>
          <t>Start another email sign-up and type a wrong six-digit code five times, then the right code</t>
        </is>
      </c>
      <c r="D61" s="10" t="inlineStr">
        <is>
          <t>Each wrong code is refused; after the fifth even the right code is refused and no account exists; start again to get a new code</t>
        </is>
      </c>
      <c r="E61" s="11" t="n"/>
      <c r="F61" s="11" t="n"/>
    </row>
    <row r="62">
      <c r="A62" s="9" t="inlineStr">
        <is>
          <t>C33</t>
        </is>
      </c>
      <c r="B62" s="10" t="inlineStr">
        <is>
          <t>Phone: sign-up (invitation or open)</t>
        </is>
      </c>
      <c r="C62" s="10" t="inlineStr">
        <is>
          <t>In the six-digit box try 5 digits, 7 digits, letters, or a space in the middle</t>
        </is>
      </c>
      <c r="D62" s="10" t="inlineStr">
        <is>
          <t>Refused before it is checked (the Continue button stays disabled or the API answers 400)</t>
        </is>
      </c>
      <c r="E62" s="11" t="n"/>
      <c r="F62" s="11" t="n"/>
    </row>
    <row r="63">
      <c r="A63" s="9" t="inlineStr">
        <is>
          <t>C34</t>
        </is>
      </c>
      <c r="B63" s="10" t="inlineStr">
        <is>
          <t>Phone: sign-up (invitation or open)</t>
        </is>
      </c>
      <c r="C63" s="10" t="inlineStr">
        <is>
          <t>Sign-in screen → Forgot password → enter the email; read the code from email-codes.txt; enter email + code + a new password. Also try an email that has no account</t>
        </is>
      </c>
      <c r="D63" s="10" t="inlineStr">
        <is>
          <t>The screen says the same thing for known and unknown emails and no email is produced for the unknown one; the new password signs in, the old one does not; the same code cannot be used twice</t>
        </is>
      </c>
      <c r="E63" s="11" t="n"/>
      <c r="F63" s="11" t="n"/>
    </row>
    <row r="64">
      <c r="A64" s="9" t="inlineStr">
        <is>
          <t>C35</t>
        </is>
      </c>
      <c r="B64" s="10" t="inlineStr">
        <is>
          <t>Phone: sign-up (invitation or open)</t>
        </is>
      </c>
      <c r="C64" s="10" t="inlineStr">
        <is>
          <t>Forgot password: type a wrong six-digit code five times, then the right one</t>
        </is>
      </c>
      <c r="D64" s="10" t="inlineStr">
        <is>
          <t>The reset is locked; the right code is refused; ask for a new code</t>
        </is>
      </c>
      <c r="E64" s="11" t="n"/>
      <c r="F64" s="11" t="n"/>
    </row>
    <row r="65">
      <c r="A65" s="9" t="inlineStr">
        <is>
          <t>C36</t>
        </is>
      </c>
      <c r="B65" s="10" t="inlineStr">
        <is>
          <t>Phone: sign-up (invitation or open)</t>
        </is>
      </c>
      <c r="C65" s="10" t="inlineStr">
        <is>
          <t>Open registration (as C19): Driver, no invitation code, new phone such as +970590005xxx; wrong then right phone code; name, password, consents</t>
        </is>
      </c>
      <c r="D65" s="10" t="inlineStr">
        <is>
          <t>Account created with no invitation; the app says "Upload your documents", not "under review" (API: onboarding status documents_required)</t>
        </is>
      </c>
      <c r="E65" s="11" t="n"/>
      <c r="F65" s="11" t="n"/>
    </row>
    <row r="66">
      <c r="A66" s="9" t="inlineStr">
        <is>
          <t>C37</t>
        </is>
      </c>
      <c r="B66" s="10" t="inlineStr">
        <is>
          <t>Phone: sign-up (invitation or open)</t>
        </is>
      </c>
      <c r="C66" s="10" t="inlineStr">
        <is>
          <t>Press "Send for review" (API: POST /onboarding/application/submit) with no documents, then with only the licence and registration</t>
        </is>
      </c>
      <c r="D66" s="10" t="inlineStr">
        <is>
          <t>Refused with 409 documents_required, listing the missing documents (3 first, then 1); nothing is submitted</t>
        </is>
      </c>
      <c r="E66" s="11" t="n"/>
      <c r="F66" s="11" t="n"/>
    </row>
    <row r="67">
      <c r="A67" s="9" t="inlineStr">
        <is>
          <t>C38</t>
        </is>
      </c>
      <c r="B67" s="10" t="inlineStr">
        <is>
          <t>Phone: sign-up (invitation or open)</t>
        </is>
      </c>
      <c r="C67" s="10" t="inlineStr">
        <is>
          <t>Admin site: look for that driver in the approvals queue and try to approve or reject by API before it was submitted</t>
        </is>
      </c>
      <c r="D67" s="10" t="inlineStr">
        <is>
          <t>Not in the queue; approve and reject answer 409 application_not_submitted; the driver cannot sign in</t>
        </is>
      </c>
      <c r="E67" s="11" t="n"/>
      <c r="F67" s="11" t="n"/>
    </row>
    <row r="68">
      <c r="A68" s="9" t="inlineStr">
        <is>
          <t>C39</t>
        </is>
      </c>
      <c r="B68" s="10" t="inlineStr">
        <is>
          <t>Phone: sign-up (invitation or open)</t>
        </is>
      </c>
      <c r="C68" s="10" t="inlineStr">
        <is>
          <t>Add the national ID, press "Send for review" (twice)</t>
        </is>
      </c>
      <c r="D68" s="10" t="inlineStr">
        <is>
          <t>Accepted ("Application under review"); a second press does nothing new; the driver is now in the admin queue with three documents</t>
        </is>
      </c>
      <c r="E68" s="11" t="n"/>
      <c r="F68" s="11" t="n"/>
    </row>
    <row r="69">
      <c r="A69" s="9" t="inlineStr">
        <is>
          <t>D01</t>
        </is>
      </c>
      <c r="B69" s="10" t="inlineStr">
        <is>
          <t>Main story (passenger, merchant, driver)</t>
        </is>
      </c>
      <c r="C69" s="10" t="inlineStr">
        <is>
          <t>Passenger: open the seeded request and its match</t>
        </is>
      </c>
      <c r="D69" s="10" t="inlineStr">
        <is>
          <t>The request and a match result are shown</t>
        </is>
      </c>
      <c r="E69" s="11" t="n"/>
      <c r="F69" s="11" t="n"/>
    </row>
    <row r="70">
      <c r="A70" s="9" t="inlineStr">
        <is>
          <t>D02</t>
        </is>
      </c>
      <c r="B70" s="10" t="inlineStr">
        <is>
          <t>Main story (passenger, merchant, driver)</t>
        </is>
      </c>
      <c r="C70" s="10" t="inlineStr">
        <is>
          <t>Merchant: open the seeded order</t>
        </is>
      </c>
      <c r="D70" s="10" t="inlineStr">
        <is>
          <t>Five parcels and their batch are shown</t>
        </is>
      </c>
      <c r="E70" s="11" t="n"/>
      <c r="F70" s="11" t="n"/>
    </row>
    <row r="71">
      <c r="A71" s="9" t="inlineStr">
        <is>
          <t>D03</t>
        </is>
      </c>
      <c r="B71" s="10" t="inlineStr">
        <is>
          <t>Main story (passenger, merchant, driver)</t>
        </is>
      </c>
      <c r="C71" s="10" t="inlineStr">
        <is>
          <t>Admin: open the Matching page; if there is no match yet, run matching</t>
        </is>
      </c>
      <c r="D71" s="10" t="inlineStr">
        <is>
          <t>One combined passenger+parcel match exists, with a score breakdown</t>
        </is>
      </c>
      <c r="E71" s="11" t="n"/>
      <c r="F71" s="11" t="n"/>
    </row>
    <row r="72">
      <c r="A72" s="9" t="inlineStr">
        <is>
          <t>D04</t>
        </is>
      </c>
      <c r="B72" s="10" t="inlineStr">
        <is>
          <t>Main story (passenger, merchant, driver)</t>
        </is>
      </c>
      <c r="C72" s="10" t="inlineStr">
        <is>
          <t>Driver (the selected one): open the inbox</t>
        </is>
      </c>
      <c r="D72" s="10" t="inlineStr">
        <is>
          <t>The match is there; the other driver's inbox is empty</t>
        </is>
      </c>
      <c r="E72" s="11" t="n"/>
      <c r="F72" s="11" t="n"/>
    </row>
    <row r="73">
      <c r="A73" s="9" t="inlineStr">
        <is>
          <t>D05</t>
        </is>
      </c>
      <c r="B73" s="10" t="inlineStr">
        <is>
          <t>Main story (passenger, merchant, driver)</t>
        </is>
      </c>
      <c r="C73" s="10" t="inlineStr">
        <is>
          <t>Driver: accept the match</t>
        </is>
      </c>
      <c r="D73" s="10" t="inlineStr">
        <is>
          <t>Exactly one trip is created</t>
        </is>
      </c>
      <c r="E73" s="11" t="n"/>
      <c r="F73" s="11" t="n"/>
    </row>
    <row r="74">
      <c r="A74" s="9" t="inlineStr">
        <is>
          <t>D06</t>
        </is>
      </c>
      <c r="B74" s="10" t="inlineStr">
        <is>
          <t>Main story (passenger, merchant, driver)</t>
        </is>
      </c>
      <c r="C74" s="10" t="inlineStr">
        <is>
          <t>Driver: advance pickup → picked up → in transit (and simulate points)</t>
        </is>
      </c>
      <c r="D74" s="10" t="inlineStr">
        <is>
          <t>Only the next valid action is offered each time</t>
        </is>
      </c>
      <c r="E74" s="11" t="n"/>
      <c r="F74" s="11" t="n"/>
    </row>
    <row r="75">
      <c r="A75" s="9" t="inlineStr">
        <is>
          <t>D07</t>
        </is>
      </c>
      <c r="B75" s="10" t="inlineStr">
        <is>
          <t>Main story (passenger, merchant, driver)</t>
        </is>
      </c>
      <c r="C75" s="10" t="inlineStr">
        <is>
          <t>Passenger and merchant: open their trip</t>
        </is>
      </c>
      <c r="D75" s="10" t="inlineStr">
        <is>
          <t>Both see the same trip and the same latest location; read-only</t>
        </is>
      </c>
      <c r="E75" s="11" t="n"/>
      <c r="F75" s="11" t="n"/>
    </row>
    <row r="76">
      <c r="A76" s="9" t="inlineStr">
        <is>
          <t>D08</t>
        </is>
      </c>
      <c r="B76" s="10" t="inlineStr">
        <is>
          <t>Main story (passenger, merchant, driver)</t>
        </is>
      </c>
      <c r="C76" s="10" t="inlineStr">
        <is>
          <t>Passenger and merchant: bell and Notifications tab</t>
        </is>
      </c>
      <c r="D76" s="10" t="inlineStr">
        <is>
          <t>A "match accepted" and "trip update" entries; tapping one clears its dot; "Mark all as read" works</t>
        </is>
      </c>
      <c r="E76" s="11" t="n"/>
      <c r="F76" s="11" t="n"/>
    </row>
    <row r="77">
      <c r="A77" s="9" t="inlineStr">
        <is>
          <t>D09</t>
        </is>
      </c>
      <c r="B77" s="10" t="inlineStr">
        <is>
          <t>Main story (passenger, merchant, driver)</t>
        </is>
      </c>
      <c r="C77" s="10" t="inlineStr">
        <is>
          <t>Driver: complete the trip</t>
        </is>
      </c>
      <c r="D77" s="10" t="inlineStr">
        <is>
          <t>Trip shows completed on all three phones and in the Admin</t>
        </is>
      </c>
      <c r="E77" s="11" t="n"/>
      <c r="F77" s="11" t="n"/>
    </row>
    <row r="78">
      <c r="A78" s="9" t="inlineStr">
        <is>
          <t>D10</t>
        </is>
      </c>
      <c r="B78" s="10" t="inlineStr">
        <is>
          <t>Main story (passenger, merchant, driver)</t>
        </is>
      </c>
      <c r="C78" s="10" t="inlineStr">
        <is>
          <t>Tracking wording</t>
        </is>
      </c>
      <c r="D78" s="10" t="inlineStr">
        <is>
          <t>Anywhere location appears it is described as simulated, never as live GPS</t>
        </is>
      </c>
      <c r="E78" s="11" t="n"/>
      <c r="F78" s="11" t="n"/>
    </row>
    <row r="79">
      <c r="A79" s="9" t="inlineStr">
        <is>
          <t>E01</t>
        </is>
      </c>
      <c r="B79" s="10" t="inlineStr">
        <is>
          <t>Smaller features</t>
        </is>
      </c>
      <c r="C79" s="10" t="inlineStr">
        <is>
          <t>Driver: Earnings/performance tab</t>
        </is>
      </c>
      <c r="D79" s="10" t="inlineStr">
        <is>
          <t>Completed-trip counts shown; earnings says it is not tracked (no invented amount)</t>
        </is>
      </c>
      <c r="E79" s="11" t="n"/>
      <c r="F79" s="11" t="n"/>
    </row>
    <row r="80">
      <c r="A80" s="9" t="inlineStr">
        <is>
          <t>E02</t>
        </is>
      </c>
      <c r="B80" s="10" t="inlineStr">
        <is>
          <t>Smaller features</t>
        </is>
      </c>
      <c r="C80" s="10" t="inlineStr">
        <is>
          <t>Same tab, acceptance rate</t>
        </is>
      </c>
      <c r="D80" s="10" t="inlineStr">
        <is>
          <t>Under 5 answered offers it says the rate appears after 5; after accepting/rejecting 5 offers it shows a percentage and "x of y"</t>
        </is>
      </c>
      <c r="E80" s="11" t="n"/>
      <c r="F80" s="11" t="n"/>
    </row>
    <row r="81">
      <c r="A81" s="9" t="inlineStr">
        <is>
          <t>E03</t>
        </is>
      </c>
      <c r="B81" s="10" t="inlineStr">
        <is>
          <t>Smaller features</t>
        </is>
      </c>
      <c r="C81" s="10" t="inlineStr">
        <is>
          <t>Driver: reject an offer and accept another (needs fresh offers: reset)</t>
        </is>
      </c>
      <c r="D81" s="10" t="inlineStr">
        <is>
          <t>The numbers in E02 move accordingly</t>
        </is>
      </c>
      <c r="E81" s="11" t="n"/>
      <c r="F81" s="11" t="n"/>
    </row>
    <row r="82">
      <c r="A82" s="9" t="inlineStr">
        <is>
          <t>E04</t>
        </is>
      </c>
      <c r="B82" s="10" t="inlineStr">
        <is>
          <t>Smaller features</t>
        </is>
      </c>
      <c r="C82" s="10" t="inlineStr">
        <is>
          <t>Merchant: Reports tab</t>
        </is>
      </c>
      <c r="D82" s="10" t="inlineStr">
        <is>
          <t>Orders, parcels and deliveries by status; matches the Admin report for that merchant</t>
        </is>
      </c>
      <c r="E82" s="11" t="n"/>
      <c r="F82" s="11" t="n"/>
    </row>
    <row r="83">
      <c r="A83" s="9" t="inlineStr">
        <is>
          <t>E05</t>
        </is>
      </c>
      <c r="B83" s="10" t="inlineStr">
        <is>
          <t>Smaller features</t>
        </is>
      </c>
      <c r="C83" s="10" t="inlineStr">
        <is>
          <t>Passenger on a trip: Report a problem → Delay → write a sentence → Send</t>
        </is>
      </c>
      <c r="D83" s="10" t="inlineStr">
        <is>
          <t>Confirmation; the sheet says it is not an emergency service</t>
        </is>
      </c>
      <c r="E83" s="11" t="n"/>
      <c r="F83" s="11" t="n"/>
    </row>
    <row r="84">
      <c r="A84" s="9" t="inlineStr">
        <is>
          <t>E06</t>
        </is>
      </c>
      <c r="B84" s="10" t="inlineStr">
        <is>
          <t>Smaller features</t>
        </is>
      </c>
      <c r="C84" s="10" t="inlineStr">
        <is>
          <t>Send 11 reports without any being resolved</t>
        </is>
      </c>
      <c r="D84" s="10" t="inlineStr">
        <is>
          <t>The 11th is refused with a message about too many open reports</t>
        </is>
      </c>
      <c r="E84" s="11" t="n"/>
      <c r="F84" s="11" t="n"/>
    </row>
    <row r="85">
      <c r="A85" s="9" t="inlineStr">
        <is>
          <t>E07</t>
        </is>
      </c>
      <c r="B85" s="10" t="inlineStr">
        <is>
          <t>Smaller features</t>
        </is>
      </c>
      <c r="C85" s="10" t="inlineStr">
        <is>
          <t>Admin: Incidents</t>
        </is>
      </c>
      <c r="D85" s="10" t="inlineStr">
        <is>
          <t>The report from E05 is there (see A16); after you resolve it, the passenger gets two new notifications and does not see your internal note</t>
        </is>
      </c>
      <c r="E85" s="11" t="n"/>
      <c r="F85" s="11" t="n"/>
    </row>
    <row r="86">
      <c r="A86" s="9" t="inlineStr">
        <is>
          <t>E08</t>
        </is>
      </c>
      <c r="B86" s="10" t="inlineStr">
        <is>
          <t>Smaller features</t>
        </is>
      </c>
      <c r="C86" s="10" t="inlineStr">
        <is>
          <t>Driver: go online/offline</t>
        </is>
      </c>
      <c r="D86" s="10" t="inlineStr">
        <is>
          <t>The state changes once per tap and survives closing the app</t>
        </is>
      </c>
      <c r="E86" s="11" t="n"/>
      <c r="F86" s="11" t="n"/>
    </row>
    <row r="87">
      <c r="A87" s="9" t="inlineStr">
        <is>
          <t>E09</t>
        </is>
      </c>
      <c r="B87" s="10" t="inlineStr">
        <is>
          <t>Smaller features</t>
        </is>
      </c>
      <c r="C87" s="10" t="inlineStr">
        <is>
          <t>Passenger (route entry switched on): home → Send a parcel → pick a route and stops, size S or M, receiver name and phone, tick the forbidden-items box → Send parcel</t>
        </is>
      </c>
      <c r="D87" s="10" t="inlineStr">
        <is>
          <t>Submit stays disabled until everything is filled and the box is ticked; the parcel then appears under My parcels as "Finding a driver"; the receiver's phone is shown masked</t>
        </is>
      </c>
      <c r="E87" s="11" t="n"/>
      <c r="F87" s="11" t="n"/>
    </row>
    <row r="88">
      <c r="A88" s="9" t="inlineStr">
        <is>
          <t>E10</t>
        </is>
      </c>
      <c r="B88" s="10" t="inlineStr">
        <is>
          <t>Smaller features</t>
        </is>
      </c>
      <c r="C88" s="10" t="inlineStr">
        <is>
          <t>Same form: try size L, a phone that is too short, or leave the box unticked</t>
        </is>
      </c>
      <c r="D88" s="10" t="inlineStr">
        <is>
          <t>Large is not offered; the others block Send parcel</t>
        </is>
      </c>
      <c r="E88" s="11" t="n"/>
      <c r="F88" s="11" t="n"/>
    </row>
    <row r="89">
      <c r="A89" s="9" t="inlineStr">
        <is>
          <t>E11</t>
        </is>
      </c>
      <c r="B89" s="10" t="inlineStr">
        <is>
          <t>Smaller features</t>
        </is>
      </c>
      <c r="C89" s="10" t="inlineStr">
        <is>
          <t>Passenger: create parcels until you have 3 in flight, then a 4th</t>
        </is>
      </c>
      <c r="D89" s="10" t="inlineStr">
        <is>
          <t>The 4th is refused with a message about the maximum number of parcels</t>
        </is>
      </c>
      <c r="E89" s="11" t="n"/>
      <c r="F89" s="11" t="n"/>
    </row>
    <row r="90">
      <c r="A90" s="9" t="inlineStr">
        <is>
          <t>E12</t>
        </is>
      </c>
      <c r="B90" s="10" t="inlineStr">
        <is>
          <t>Smaller features</t>
        </is>
      </c>
      <c r="C90" s="10" t="inlineStr">
        <is>
          <t>Passenger: cancel a parcel that is still "Finding a driver" (confirm the dialog)</t>
        </is>
      </c>
      <c r="D90" s="10" t="inlineStr">
        <is>
          <t>It becomes Cancelled and the receiver details are shown as erased; once a driver has been offered or assigned the parcel there is no Cancel button</t>
        </is>
      </c>
      <c r="E90" s="11" t="n"/>
      <c r="F90" s="11" t="n"/>
    </row>
    <row r="91">
      <c r="A91" s="9" t="inlineStr">
        <is>
          <t>E13</t>
        </is>
      </c>
      <c r="B91" s="10" t="inlineStr">
        <is>
          <t>Smaller features</t>
        </is>
      </c>
      <c r="C91" s="10" t="inlineStr">
        <is>
          <t>Admin: Deliveries page, "Passenger parcels" section</t>
        </is>
      </c>
      <c r="D91" s="10" t="inlineStr">
        <is>
          <t>The parcel is listed with its tracking state in English and Arabic; no receiver name, phone or note anywhere</t>
        </is>
      </c>
      <c r="E91" s="11" t="n"/>
      <c r="F91" s="11" t="n"/>
    </row>
    <row r="92">
      <c r="A92" s="9" t="inlineStr">
        <is>
          <t>E14</t>
        </is>
      </c>
      <c r="B92" s="10" t="inlineStr">
        <is>
          <t>Smaller features</t>
        </is>
      </c>
      <c r="C92" s="10" t="inlineStr">
        <is>
          <t>Admin → create three stops and a route, publish it (API: /admin/stops, /admin/service-routes, versions, stops, publish). Needs the route switches (the local test environment turns them on)</t>
        </is>
      </c>
      <c r="D92" s="10" t="inlineStr">
        <is>
          <t>The route appears in the public route catalogue (GET /routes)</t>
        </is>
      </c>
      <c r="E92" s="11" t="n"/>
      <c r="F92" s="11" t="n"/>
    </row>
    <row r="93">
      <c r="A93" s="9" t="inlineStr">
        <is>
          <t>E15</t>
        </is>
      </c>
      <c r="B93" s="10" t="inlineStr">
        <is>
          <t>Smaller features</t>
        </is>
      </c>
      <c r="C93" s="10" t="inlineStr">
        <is>
          <t>Admin → the route's "Estimated fares" tab (API: PUT /admin/service-routes/:id/fares): set seat 15.00, parcel S 7.00, M 9.00 with a reason; then try amount 0, 12.5 agorot, a 2-letter reason, a passenger account, and the same fares again</t>
        </is>
      </c>
      <c r="D93" s="10" t="inlineStr">
        <is>
          <t>Saved with your name in the history; 0, fractions and a too-short reason are refused (400), a passenger is refused (403), saving unchanged fares answers 409 fare_unchanged</t>
        </is>
      </c>
      <c r="E93" s="11" t="n"/>
      <c r="F93" s="11" t="n"/>
    </row>
    <row r="94">
      <c r="A94" s="9" t="inlineStr">
        <is>
          <t>E16</t>
        </is>
      </c>
      <c r="B94" s="10" t="inlineStr">
        <is>
          <t>Smaller features</t>
        </is>
      </c>
      <c r="C94" s="10" t="inlineStr">
        <is>
          <t>Passenger requests 2 seats on that route (API: POST /passenger/route-requests); the Admin then raises the seat fare to 20.00; the passenger repeats the same request key, then makes a new one</t>
        </is>
      </c>
      <c r="D94" s="10" t="inlineStr">
        <is>
          <t>The route list and the request show the fare as an estimate paid directly to the driver (2 x 15.00 = 30.00); after the change the first request still says 15.00 (frozen), a new request says 20.00</t>
        </is>
      </c>
      <c r="E94" s="11" t="n"/>
      <c r="F94" s="11" t="n"/>
    </row>
    <row r="95">
      <c r="A95" s="9" t="inlineStr">
        <is>
          <t>E17</t>
        </is>
      </c>
      <c r="B95" s="10" t="inlineStr">
        <is>
          <t>Smaller features</t>
        </is>
      </c>
      <c r="C95" s="10" t="inlineStr">
        <is>
          <t>Passenger parcel (API: POST /passenger/parcels with an Idempotency-Key): size S, receiver name and phone, forbidden-items box ticked; send the same key again</t>
        </is>
      </c>
      <c r="D95" s="10" t="inlineStr">
        <is>
          <t>Created as "Finding a driver"; the receiver phone is shown masked; the second send returns the same parcel and creates no second one; a different body with the same key is refused (409)</t>
        </is>
      </c>
      <c r="E95" s="11" t="n"/>
      <c r="F95" s="11" t="n"/>
    </row>
    <row r="96">
      <c r="A96" s="9" t="inlineStr">
        <is>
          <t>E18</t>
        </is>
      </c>
      <c r="B96" s="10" t="inlineStr">
        <is>
          <t>Smaller features</t>
        </is>
      </c>
      <c r="C96" s="10" t="inlineStr">
        <is>
          <t>Same call with size L, a 3-digit phone, the box unticked or missing, a drop-off before the pickup, a 1-letter name, or an unknown field</t>
        </is>
      </c>
      <c r="D96" s="10" t="inlineStr">
        <is>
          <t>Each is refused with 400 (or a 4xx for the stops); nothing is created</t>
        </is>
      </c>
      <c r="E96" s="11" t="n"/>
      <c r="F96" s="11" t="n"/>
    </row>
    <row r="97">
      <c r="A97" s="9" t="inlineStr">
        <is>
          <t>E19</t>
        </is>
      </c>
      <c r="B97" s="10" t="inlineStr">
        <is>
          <t>Smaller features</t>
        </is>
      </c>
      <c r="C97" s="10" t="inlineStr">
        <is>
          <t>Open that parcel as another passenger, a driver, a shop owner and signed out; then the Admin parcel list (GET /admin/passenger-parcels)</t>
        </is>
      </c>
      <c r="D97" s="10" t="inlineStr">
        <is>
          <t>Others get 404, 403 or 401; the Admin list shows the parcel but no receiver name, phone or note</t>
        </is>
      </c>
      <c r="E97" s="11" t="n"/>
      <c r="F97" s="11" t="n"/>
    </row>
    <row r="98">
      <c r="A98" s="9" t="inlineStr">
        <is>
          <t>E20</t>
        </is>
      </c>
      <c r="B98" s="10" t="inlineStr">
        <is>
          <t>Smaller features</t>
        </is>
      </c>
      <c r="C98" s="10" t="inlineStr">
        <is>
          <t>Create parcels until 3 are in flight, then a 4th</t>
        </is>
      </c>
      <c r="D98" s="10" t="inlineStr">
        <is>
          <t>The 4th is refused with 409 passenger_parcel_limit_reached</t>
        </is>
      </c>
      <c r="E98" s="11" t="n"/>
      <c r="F98" s="11" t="n"/>
    </row>
    <row r="99">
      <c r="A99" s="9" t="inlineStr">
        <is>
          <t>E21</t>
        </is>
      </c>
      <c r="B99" s="10" t="inlineStr">
        <is>
          <t>Smaller features</t>
        </is>
      </c>
      <c r="C99" s="10" t="inlineStr">
        <is>
          <t>Cancel a parcel that is still "Finding a driver"; cancel it again; then create a new one</t>
        </is>
      </c>
      <c r="D99" s="10" t="inlineStr">
        <is>
          <t>Cancelled, receiver name, phone and note erased; a second cancel is refused (409); the freed slot allows a new parcel</t>
        </is>
      </c>
      <c r="E99" s="11" t="n"/>
      <c r="F99" s="11" t="n"/>
    </row>
    <row r="100">
      <c r="A100" s="9" t="inlineStr">
        <is>
          <t>E22</t>
        </is>
      </c>
      <c r="B100" s="10" t="inlineStr">
        <is>
          <t>Smaller features</t>
        </is>
      </c>
      <c r="C100" s="10" t="inlineStr">
        <is>
          <t>As the sender open the parcel's delivery code (API: GET /parcel-orders/:id/handover, POST .../handover/regenerate)</t>
        </is>
      </c>
      <c r="D100" s="10" t="inlineStr">
        <is>
          <t>The state never shows the code; "Get a new code" returns a six-digit code once; others get 404; an Admin cannot re-issue it (403)</t>
        </is>
      </c>
      <c r="E100" s="11" t="n"/>
      <c r="F100" s="11" t="n"/>
    </row>
    <row r="101">
      <c r="A101" s="9" t="inlineStr">
        <is>
          <t>E23</t>
        </is>
      </c>
      <c r="B101" s="10" t="inlineStr">
        <is>
          <t>Smaller features</t>
        </is>
      </c>
      <c r="C101" s="10" t="inlineStr">
        <is>
          <t>Shop owner → bulk orders (API: POST /merchant/orders/bulk/preview): paste a CSV with 5 rows (one has size Q); also try as a passenger</t>
        </is>
      </c>
      <c r="D101" s="10" t="inlineStr">
        <is>
          <t>The preview lists the valid orders, the bad row with its row number and an Arabic message, and a batch plan; nothing is created; passengers are refused</t>
        </is>
      </c>
      <c r="E101" s="11" t="n"/>
      <c r="F101" s="11" t="n"/>
    </row>
    <row r="102">
      <c r="A102" s="9" t="inlineStr">
        <is>
          <t>E24</t>
        </is>
      </c>
      <c r="B102" s="10" t="inlineStr">
        <is>
          <t>Smaller features</t>
        </is>
      </c>
      <c r="C102" s="10" t="inlineStr">
        <is>
          <t>Submit the CSV without an Idempotency-Key, then with the bad row and without "skip invalid"</t>
        </is>
      </c>
      <c r="D102" s="10" t="inlineStr">
        <is>
          <t>Both are refused (400) and no order is created</t>
        </is>
      </c>
      <c r="E102" s="11" t="n"/>
      <c r="F102" s="11" t="n"/>
    </row>
    <row r="103">
      <c r="A103" s="9" t="inlineStr">
        <is>
          <t>E25</t>
        </is>
      </c>
      <c r="B103" s="10" t="inlineStr">
        <is>
          <t>Smaller features</t>
        </is>
      </c>
      <c r="C103" s="10" t="inlineStr">
        <is>
          <t>Submit the valid rows with an Idempotency-Key, then send exactly the same upload again; then submit with "skip invalid"</t>
        </is>
      </c>
      <c r="D103" s="10" t="inlineStr">
        <is>
          <t>First: 3 orders created; the retry creates nothing (all "replayed", the same order numbers, the order list still has 3); skipping the bad row creates the valid ones and reports 1 failed</t>
        </is>
      </c>
      <c r="E103" s="11" t="n"/>
      <c r="F103" s="11" t="n"/>
    </row>
    <row r="104">
      <c r="A104" s="9" t="inlineStr">
        <is>
          <t>E26</t>
        </is>
      </c>
      <c r="B104" s="10" t="inlineStr">
        <is>
          <t>Smaller features</t>
        </is>
      </c>
      <c r="C104" s="10" t="inlineStr">
        <is>
          <t>Preview or submit a CSV with 51 rows; then one with exactly 50</t>
        </is>
      </c>
      <c r="D104" s="10" t="inlineStr">
        <is>
          <t>51 rows: rejected as a whole with csv_too_many_rows and nothing created; 50 rows are accepted by the preview</t>
        </is>
      </c>
      <c r="E104" s="11" t="n"/>
      <c r="F104" s="11" t="n"/>
    </row>
    <row r="105">
      <c r="A105" s="9" t="inlineStr">
        <is>
          <t>E27</t>
        </is>
      </c>
      <c r="B105" s="10" t="inlineStr">
        <is>
          <t>Smaller features</t>
        </is>
      </c>
      <c r="C105" s="10" t="inlineStr">
        <is>
          <t>Passenger assistant with no AI key (Assistant on the passenger home): "from Bab Al-Zawiya to Bethlehem Center tomorrow at 8am with 2 seats", and the same in Arabic</t>
        </is>
      </c>
      <c r="D105" s="10" t="inlineStr">
        <is>
          <t>The rule-based fallback fills pickup, destination, time and 2 seats for review; admins and signed-out users cannot use it; an empty message is refused</t>
        </is>
      </c>
      <c r="E105" s="11" t="n"/>
      <c r="F105" s="11" t="n"/>
    </row>
    <row r="106">
      <c r="A106" s="9" t="inlineStr">
        <is>
          <t>E28</t>
        </is>
      </c>
      <c r="B106" s="10" t="inlineStr">
        <is>
          <t>Smaller features</t>
        </is>
      </c>
      <c r="C106" s="10" t="inlineStr">
        <is>
          <t>Ask the assistant for a ride to Nablus (English and Arabic)</t>
        </is>
      </c>
      <c r="D106" s="10" t="inlineStr">
        <is>
          <t>A clear reply that the place is not supported yet, listing the supported places as suggestions</t>
        </is>
      </c>
      <c r="E106" s="11" t="n"/>
      <c r="F106" s="11" t="n"/>
    </row>
    <row r="107">
      <c r="A107" s="9" t="inlineStr">
        <is>
          <t>E29</t>
        </is>
      </c>
      <c r="B107" s="10" t="inlineStr">
        <is>
          <t>Smaller features</t>
        </is>
      </c>
      <c r="C107" s="10" t="inlineStr">
        <is>
          <t>Send the assistant something it cannot read; then Admin → Incidents → uncertain assistant requests (API: GET /admin/ai-uncertain-requests); resolve it with a note</t>
        </is>
      </c>
      <c r="D107" s="10" t="inlineStr">
        <is>
          <t>A clear request is not queued; the unclear one is queued once with its reason and no passenger identity; resolving needs the current revision, a resolved one cannot be resolved again, and the open count drops</t>
        </is>
      </c>
      <c r="E107" s="11" t="n"/>
      <c r="F107" s="11" t="n"/>
    </row>
    <row r="108">
      <c r="A108" s="9" t="inlineStr">
        <is>
          <t>E30</t>
        </is>
      </c>
      <c r="B108" s="10" t="inlineStr">
        <is>
          <t>Smaller features</t>
        </is>
      </c>
      <c r="C108" s="10" t="inlineStr">
        <is>
          <t>Passenger with an accepted trip: step the simulated driver (Simulate step) until it is near the pickup, then open Notifications</t>
        </is>
      </c>
      <c r="D108" s="10" t="inlineStr">
        <is>
          <t>Exactly one "your driver is approaching" notification (no coordinates in it), however many steps follow; the shop owner gets none</t>
        </is>
      </c>
      <c r="E108" s="11" t="n"/>
      <c r="F108" s="11" t="n"/>
    </row>
    <row r="109">
      <c r="A109" s="9" t="inlineStr">
        <is>
          <t>E31</t>
        </is>
      </c>
      <c r="B109" s="10" t="inlineStr">
        <is>
          <t>Smaller features</t>
        </is>
      </c>
      <c r="C109" s="10" t="inlineStr">
        <is>
          <t>Driver on an in-transit parcel trip: try Delivered with the normal status button, then confirm with no code, and try to confirm as the passenger or shop owner</t>
        </is>
      </c>
      <c r="D109" s="10" t="inlineStr">
        <is>
          <t>The status route refuses (409 delivery_confirmation_required), no code is 400, other roles 403; the trip stays in transit</t>
        </is>
      </c>
      <c r="E109" s="11" t="n"/>
      <c r="F109" s="11" t="n"/>
    </row>
    <row r="110">
      <c r="A110" s="9" t="inlineStr">
        <is>
          <t>E32</t>
        </is>
      </c>
      <c r="B110" s="10" t="inlineStr">
        <is>
          <t>Smaller features</t>
        </is>
      </c>
      <c r="C110" s="10" t="inlineStr">
        <is>
          <t>Shop owner: Get a new code for the order (API: POST /parcel-orders/:id/handover/regenerate); the driver tries to read or re-issue it</t>
        </is>
      </c>
      <c r="D110" s="10" t="inlineStr">
        <is>
          <t>A six-digit code is returned once, attempts remaining 5; the driver gets 404 for both</t>
        </is>
      </c>
      <c r="E110" s="11" t="n"/>
      <c r="F110" s="11" t="n"/>
    </row>
    <row r="111">
      <c r="A111" s="9" t="inlineStr">
        <is>
          <t>E33</t>
        </is>
      </c>
      <c r="B111" s="10" t="inlineStr">
        <is>
          <t>Smaller features</t>
        </is>
      </c>
      <c r="C111" s="10" t="inlineStr">
        <is>
          <t>Driver enters a wrong code five times, then the right code; then the shop owner gets a new code</t>
        </is>
      </c>
      <c r="D111" s="10" t="inlineStr">
        <is>
          <t>Wrong codes are refused (422); after five, even the right code is refused (429 handover_locked) and the order shows locked; a new code unlocks it</t>
        </is>
      </c>
      <c r="E111" s="11" t="n"/>
      <c r="F111" s="11" t="n"/>
    </row>
    <row r="112">
      <c r="A112" s="9" t="inlineStr">
        <is>
          <t>E34</t>
        </is>
      </c>
      <c r="B112" s="10" t="inlineStr">
        <is>
          <t>Smaller features</t>
        </is>
      </c>
      <c r="C112" s="10" t="inlineStr">
        <is>
          <t>Driver enters the right code; the Admin opens the trip (API: GET /admin/trips/:id)</t>
        </is>
      </c>
      <c r="D112" s="10" t="inlineStr">
        <is>
          <t>The trip becomes delivered; the Admin sees it confirmed by receiver code and not flagged; the code is shown nowhere; confirming again is refused</t>
        </is>
      </c>
      <c r="E112" s="11" t="n"/>
      <c r="F112" s="11" t="n"/>
    </row>
    <row r="113">
      <c r="A113" s="9" t="inlineStr">
        <is>
          <t>E35</t>
        </is>
      </c>
      <c r="B113" s="10" t="inlineStr">
        <is>
          <t>Smaller features</t>
        </is>
      </c>
      <c r="C113" s="10" t="inlineStr">
        <is>
          <t>Passenger rates the finished trip: before completion, 0 and 6 stars, then 5 stars, then again; drivers and shop owners try to rate or read it</t>
        </is>
      </c>
      <c r="D113" s="10" t="inlineStr">
        <is>
          <t>Before completion 409 trip_not_completed; 0, 6 and 4.5 are 400; 5 stars saved (201); a second rating 409 trip_already_rated; the passenger can see only their own rating; drivers get 403/404 and no driver screen or API shows a star rating</t>
        </is>
      </c>
      <c r="E113" s="11" t="n"/>
      <c r="F113" s="11" t="n"/>
    </row>
    <row r="114">
      <c r="A114" s="9" t="inlineStr">
        <is>
          <t>E36</t>
        </is>
      </c>
      <c r="B114" s="10" t="inlineStr">
        <is>
          <t>Smaller features</t>
        </is>
      </c>
      <c r="C114" s="10" t="inlineStr">
        <is>
          <t>After the trip: driver trust score (Admin → user detail) and npm run trust:recompute -w @masari/api against the demo database</t>
        </is>
      </c>
      <c r="D114" s="10" t="inlineStr">
        <is>
          <t>A whole number from 0 to 100 with its breakdown and calculation time; the Admin sees the same number; the job reports 0 failed and gives the same score when run again</t>
        </is>
      </c>
      <c r="E114" s="11" t="n"/>
      <c r="F114" s="11" t="n"/>
    </row>
    <row r="115">
      <c r="A115" s="9" t="inlineStr">
        <is>
          <t>E37</t>
        </is>
      </c>
      <c r="B115" s="10" t="inlineStr">
        <is>
          <t>Smaller features</t>
        </is>
      </c>
      <c r="C115" s="10" t="inlineStr">
        <is>
          <t>Second trip: the driver chooses "Receiver unavailable" with no reason, a 9-character reason, a 301-character reason, then a proper reason</t>
        </is>
      </c>
      <c r="D115" s="10" t="inlineStr">
        <is>
          <t>The first three are refused (400); the proper one delivers the trip, the Admin trip list and detail show it flagged with the reason, and the sender sees how it was confirmed</t>
        </is>
      </c>
      <c r="E115" s="11" t="n"/>
      <c r="F115" s="11" t="n"/>
    </row>
    <row r="116">
      <c r="A116" s="9" t="inlineStr">
        <is>
          <t>E38</t>
        </is>
      </c>
      <c r="B116" s="10" t="inlineStr">
        <is>
          <t>Smaller features</t>
        </is>
      </c>
      <c r="C116" s="10" t="inlineStr">
        <is>
          <t>Admin approves a new driver with document dates (API: expiry on approve): try a licence date in the past, then valid dates</t>
        </is>
      </c>
      <c r="D116" s="10" t="inlineStr">
        <is>
          <t>A past date is refused (400 expiry_date_in_past); valid dates are saved and the driver appears under "Expiring soon" (within 30 days); a driver cannot read that list</t>
        </is>
      </c>
      <c r="E116" s="11" t="n"/>
      <c r="F116" s="11" t="n"/>
    </row>
    <row r="117">
      <c r="A117" s="9" t="inlineStr">
        <is>
          <t>E39</t>
        </is>
      </c>
      <c r="B117" s="10" t="inlineStr">
        <is>
          <t>Smaller features</t>
        </is>
      </c>
      <c r="C117" s="10" t="inlineStr">
        <is>
          <t>Run the expiry job (npm run documents:expiry -w @masari/api) with the licence ending in 5 days, twice</t>
        </is>
      </c>
      <c r="D117" s="10" t="inlineStr">
        <is>
          <t>The driver gets one "document expires soon" reminder; the second run adds none; the driver is still approved</t>
        </is>
      </c>
      <c r="E117" s="11" t="n"/>
      <c r="F117" s="11" t="n"/>
    </row>
    <row r="118">
      <c r="A118" s="9" t="inlineStr">
        <is>
          <t>E40</t>
        </is>
      </c>
      <c r="B118" s="10" t="inlineStr">
        <is>
          <t>Smaller features</t>
        </is>
      </c>
      <c r="C118" s="10" t="inlineStr">
        <is>
          <t>Set the licence date to yesterday (database edit on masari_demo) and run the job again; then try to go online</t>
        </is>
      </c>
      <c r="D118" s="10" t="inlineStr">
        <is>
          <t>The driver becomes "documents expired", is unverified, gets a notification, and going online is refused with 403 driver_documents_expired; a second run restricts nobody twice; the driver still signs in; the Admin sees the driver under "Awaiting driver"</t>
        </is>
      </c>
      <c r="E118" s="11" t="n"/>
      <c r="F118" s="11" t="n"/>
    </row>
    <row r="119">
      <c r="A119" s="9" t="inlineStr">
        <is>
          <t>E41</t>
        </is>
      </c>
      <c r="B119" s="10" t="inlineStr">
        <is>
          <t>Smaller features</t>
        </is>
      </c>
      <c r="C119" s="10" t="inlineStr">
        <is>
          <t>Driver renewal (API: /driver/document-renewal): submit with no file, upload a text file, upload a photo, submit</t>
        </is>
      </c>
      <c r="D119" s="10" t="inlineStr">
        <is>
          <t>No file: 409; text file: 415; with a photo the application goes to the Admin re-review queue; going online is still refused; passengers cannot use the renewal area</t>
        </is>
      </c>
      <c r="E119" s="11" t="n"/>
      <c r="F119" s="11" t="n"/>
    </row>
    <row r="120">
      <c r="A120" s="9" t="inlineStr">
        <is>
          <t>E42</t>
        </is>
      </c>
      <c r="B120" s="10" t="inlineStr">
        <is>
          <t>Smaller features</t>
        </is>
      </c>
      <c r="C120" s="10" t="inlineStr">
        <is>
          <t>Admin approves the renewal: first without new dates, then with a new licence date</t>
        </is>
      </c>
      <c r="D120" s="10" t="inlineStr">
        <is>
          <t>Without new dates it is refused (400); with a new date the driver is approved and verified again at once, the history shows expired and renewal submitted, going online is no longer refused for documents, and the job does not restrict them again</t>
        </is>
      </c>
      <c r="E120" s="11" t="n"/>
      <c r="F120" s="11" t="n"/>
    </row>
    <row r="121">
      <c r="A121" s="9" t="inlineStr">
        <is>
          <t>F01</t>
        </is>
      </c>
      <c r="B121" s="10" t="inlineStr">
        <is>
          <t>Must NOT work (safety)</t>
        </is>
      </c>
      <c r="C121" s="10" t="inlineStr">
        <is>
          <t>Admin site: sign in as a passenger (using a passenger's email and password)</t>
        </is>
      </c>
      <c r="D121" s="10" t="inlineStr">
        <is>
          <t>Refused</t>
        </is>
      </c>
      <c r="E121" s="11" t="n"/>
      <c r="F121" s="11" t="n"/>
    </row>
    <row r="122">
      <c r="A122" s="9" t="inlineStr">
        <is>
          <t>F02</t>
        </is>
      </c>
      <c r="B122" s="10" t="inlineStr">
        <is>
          <t>Must NOT work (safety)</t>
        </is>
      </c>
      <c r="C122" s="10" t="inlineStr">
        <is>
          <t>A pending merchant or driver signs in on the phone</t>
        </is>
      </c>
      <c r="D122" s="10" t="inlineStr">
        <is>
          <t>Refused with a clear message</t>
        </is>
      </c>
      <c r="E122" s="11" t="n"/>
      <c r="F122" s="11" t="n"/>
    </row>
    <row r="123">
      <c r="A123" s="9" t="inlineStr">
        <is>
          <t>F03</t>
        </is>
      </c>
      <c r="B123" s="10" t="inlineStr">
        <is>
          <t>Must NOT work (safety)</t>
        </is>
      </c>
      <c r="C123" s="10" t="inlineStr">
        <is>
          <t>After the Admin rejects a driver with a reason, sign in as that driver</t>
        </is>
      </c>
      <c r="D123" s="10" t="inlineStr">
        <is>
          <t>Refused</t>
        </is>
      </c>
      <c r="E123" s="11" t="n"/>
      <c r="F123" s="11" t="n"/>
    </row>
    <row r="124">
      <c r="A124" s="9" t="inlineStr">
        <is>
          <t>F04</t>
        </is>
      </c>
      <c r="B124" s="10" t="inlineStr">
        <is>
          <t>Must NOT work (safety)</t>
        </is>
      </c>
      <c r="C124" s="10" t="inlineStr">
        <is>
          <t>As a passenger, try to open driver or merchant screens (via the menu only; no URL tricks)</t>
        </is>
      </c>
      <c r="D124" s="10" t="inlineStr">
        <is>
          <t>Not reachable</t>
        </is>
      </c>
      <c r="E124" s="11" t="n"/>
      <c r="F124" s="11" t="n"/>
    </row>
    <row r="125">
      <c r="A125" s="9" t="inlineStr">
        <is>
          <t>F05</t>
        </is>
      </c>
      <c r="B125" s="10" t="inlineStr">
        <is>
          <t>Must NOT work (safety)</t>
        </is>
      </c>
      <c r="C125" s="10" t="inlineStr">
        <is>
          <t>Admin downloads a driver document, then the applicant is approved: can the applicant still upload?</t>
        </is>
      </c>
      <c r="D125" s="10" t="inlineStr">
        <is>
          <t>No: uploading is closed once a decision is made</t>
        </is>
      </c>
      <c r="E125" s="11" t="n"/>
      <c r="F125" s="11" t="n"/>
    </row>
    <row r="126">
      <c r="A126" s="9" t="inlineStr">
        <is>
          <t>F06</t>
        </is>
      </c>
      <c r="B126" s="10" t="inlineStr">
        <is>
          <t>Must NOT work (safety)</t>
        </is>
      </c>
      <c r="C126" s="10" t="inlineStr">
        <is>
          <t>Look through every screen for the words "push notification", "emergency", "live GPS", "payment", "earnings" used as if they work</t>
        </is>
      </c>
      <c r="D126" s="10" t="inlineStr">
        <is>
          <t>None claim a feature that is not built</t>
        </is>
      </c>
      <c r="E126" s="11" t="n"/>
      <c r="F126" s="11" t="n"/>
    </row>
    <row r="127">
      <c r="A127" s="9" t="inlineStr">
        <is>
          <t>F07</t>
        </is>
      </c>
      <c r="B127" s="10" t="inlineStr">
        <is>
          <t>Must NOT work (safety)</t>
        </is>
      </c>
      <c r="C127" s="10" t="inlineStr">
        <is>
          <t>With the open-registration switch off (OPEN_DRIVER_MERCHANT_SIGNUP_ENABLED=false, the default everywhere except the local test environment), choose Driver and leave the invitation code empty</t>
        </is>
      </c>
      <c r="D127" s="10" t="inlineStr">
        <is>
          <t>The code field is required; sending without one is refused and no code is produced</t>
        </is>
      </c>
      <c r="E127" s="11" t="n"/>
      <c r="F127" s="11" t="n"/>
    </row>
    <row r="128">
      <c r="A128" s="9" t="inlineStr">
        <is>
          <t>F08</t>
        </is>
      </c>
      <c r="B128" s="10" t="inlineStr">
        <is>
          <t>Must NOT work (safety)</t>
        </is>
      </c>
      <c r="C128" s="10" t="inlineStr">
        <is>
          <t>Call POST /api/v1/onboarding/application/submit with a pending driver or shop owner session that is missing a required document (any HTTP client)</t>
        </is>
      </c>
      <c r="D128" s="10" t="inlineStr">
        <is>
          <t>409 documents_required, listing what is missing; the application is not submitted</t>
        </is>
      </c>
      <c r="E128" s="11" t="n"/>
      <c r="F128" s="11" t="n"/>
    </row>
    <row r="129">
      <c r="A129" s="9" t="inlineStr">
        <is>
          <t>F09</t>
        </is>
      </c>
      <c r="B129" s="10" t="inlineStr">
        <is>
          <t>Must NOT work (safety)</t>
        </is>
      </c>
      <c r="C129" s="10" t="inlineStr">
        <is>
          <t>Passenger role without an invitation code, even with the switch on</t>
        </is>
      </c>
      <c r="D129" s="10" t="inlineStr">
        <is>
          <t>Refused; passengers always register by email or Google</t>
        </is>
      </c>
      <c r="E129" s="11" t="n"/>
      <c r="F129" s="11" t="n"/>
    </row>
    <row r="130">
      <c r="A130" s="9" t="inlineStr">
        <is>
          <t>F10</t>
        </is>
      </c>
      <c r="B130" s="10" t="inlineStr">
        <is>
          <t>Must NOT work (safety)</t>
        </is>
      </c>
      <c r="C130" s="10" t="inlineStr">
        <is>
          <t>A submitted driver deletes the only file of a required kind</t>
        </is>
      </c>
      <c r="D130" s="10" t="inlineStr">
        <is>
          <t>Refused (documents_required); replacing it by adding a second file first works</t>
        </is>
      </c>
      <c r="E130" s="11" t="n"/>
      <c r="F130" s="11" t="n"/>
    </row>
  </sheetData>
  <autoFilter ref="A1:F130"/>
  <conditionalFormatting sqref="E2:E130">
    <cfRule type="cellIs" priority="1" operator="equal" dxfId="3">
      <formula>"PASS"</formula>
    </cfRule>
    <cfRule type="cellIs" priority="2" operator="equal" dxfId="4">
      <formula>"FAIL"</formula>
    </cfRule>
    <cfRule type="cellIs" priority="3" operator="equal" dxfId="5">
      <formula>"SKIP"</formula>
    </cfRule>
  </conditionalFormatting>
  <dataValidations count="1">
    <dataValidation sqref="E2:E130" showDropDown="0" showInputMessage="0" showErrorMessage="0" allowBlank="1" type="list">
      <formula1>"PASS,FAIL,SKIP"</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40" customWidth="1" min="1" max="1"/>
    <col width="10" customWidth="1" min="2" max="2"/>
    <col width="10" customWidth="1" min="3" max="3"/>
    <col width="10" customWidth="1" min="4" max="4"/>
    <col width="10" customWidth="1" min="5" max="5"/>
    <col width="12" customWidth="1" min="6" max="6"/>
  </cols>
  <sheetData>
    <row r="1">
      <c r="A1" s="12" t="inlineStr">
        <is>
          <t>Area</t>
        </is>
      </c>
      <c r="B1" s="12" t="inlineStr">
        <is>
          <t>Tests</t>
        </is>
      </c>
      <c r="C1" s="12" t="inlineStr">
        <is>
          <t>PASS</t>
        </is>
      </c>
      <c r="D1" s="12" t="inlineStr">
        <is>
          <t>FAIL</t>
        </is>
      </c>
      <c r="E1" s="12" t="inlineStr">
        <is>
          <t>SKIP</t>
        </is>
      </c>
      <c r="F1" s="12" t="inlineStr">
        <is>
          <t>Not done</t>
        </is>
      </c>
    </row>
    <row r="2">
      <c r="A2" s="13" t="inlineStr">
        <is>
          <t>Admin site</t>
        </is>
      </c>
      <c r="B2" s="13">
        <f>COUNTIF(Tests!$A$2:$A$130,"A*")</f>
        <v/>
      </c>
      <c r="C2" s="13">
        <f>COUNTIFS(Tests!$A$2:$A$130,"A*",Tests!$E$2:$E$130,"PASS")</f>
        <v/>
      </c>
      <c r="D2" s="13">
        <f>COUNTIFS(Tests!$A$2:$A$130,"A*",Tests!$E$2:$E$130,"FAIL")</f>
        <v/>
      </c>
      <c r="E2" s="13">
        <f>COUNTIFS(Tests!$A$2:$A$130,"A*",Tests!$E$2:$E$130,"SKIP")</f>
        <v/>
      </c>
      <c r="F2" s="13">
        <f>B2-C2-D2-E2</f>
        <v/>
      </c>
    </row>
    <row r="3">
      <c r="A3" s="13" t="inlineStr">
        <is>
          <t>Phone: signing in</t>
        </is>
      </c>
      <c r="B3" s="13">
        <f>COUNTIF(Tests!$A$2:$A$130,"B*")</f>
        <v/>
      </c>
      <c r="C3" s="13">
        <f>COUNTIFS(Tests!$A$2:$A$130,"B*",Tests!$E$2:$E$130,"PASS")</f>
        <v/>
      </c>
      <c r="D3" s="13">
        <f>COUNTIFS(Tests!$A$2:$A$130,"B*",Tests!$E$2:$E$130,"FAIL")</f>
        <v/>
      </c>
      <c r="E3" s="13">
        <f>COUNTIFS(Tests!$A$2:$A$130,"B*",Tests!$E$2:$E$130,"SKIP")</f>
        <v/>
      </c>
      <c r="F3" s="13">
        <f>B3-C3-D3-E3</f>
        <v/>
      </c>
    </row>
    <row r="4">
      <c r="A4" s="13" t="inlineStr">
        <is>
          <t>Phone: sign-up (invitation or open)</t>
        </is>
      </c>
      <c r="B4" s="13">
        <f>COUNTIF(Tests!$A$2:$A$130,"C*")</f>
        <v/>
      </c>
      <c r="C4" s="13">
        <f>COUNTIFS(Tests!$A$2:$A$130,"C*",Tests!$E$2:$E$130,"PASS")</f>
        <v/>
      </c>
      <c r="D4" s="13">
        <f>COUNTIFS(Tests!$A$2:$A$130,"C*",Tests!$E$2:$E$130,"FAIL")</f>
        <v/>
      </c>
      <c r="E4" s="13">
        <f>COUNTIFS(Tests!$A$2:$A$130,"C*",Tests!$E$2:$E$130,"SKIP")</f>
        <v/>
      </c>
      <c r="F4" s="13">
        <f>B4-C4-D4-E4</f>
        <v/>
      </c>
    </row>
    <row r="5">
      <c r="A5" s="13" t="inlineStr">
        <is>
          <t>Main story (passenger, merchant, driver)</t>
        </is>
      </c>
      <c r="B5" s="13">
        <f>COUNTIF(Tests!$A$2:$A$130,"D*")</f>
        <v/>
      </c>
      <c r="C5" s="13">
        <f>COUNTIFS(Tests!$A$2:$A$130,"D*",Tests!$E$2:$E$130,"PASS")</f>
        <v/>
      </c>
      <c r="D5" s="13">
        <f>COUNTIFS(Tests!$A$2:$A$130,"D*",Tests!$E$2:$E$130,"FAIL")</f>
        <v/>
      </c>
      <c r="E5" s="13">
        <f>COUNTIFS(Tests!$A$2:$A$130,"D*",Tests!$E$2:$E$130,"SKIP")</f>
        <v/>
      </c>
      <c r="F5" s="13">
        <f>B5-C5-D5-E5</f>
        <v/>
      </c>
    </row>
    <row r="6">
      <c r="A6" s="13" t="inlineStr">
        <is>
          <t>Smaller features</t>
        </is>
      </c>
      <c r="B6" s="13">
        <f>COUNTIF(Tests!$A$2:$A$130,"E*")</f>
        <v/>
      </c>
      <c r="C6" s="13">
        <f>COUNTIFS(Tests!$A$2:$A$130,"E*",Tests!$E$2:$E$130,"PASS")</f>
        <v/>
      </c>
      <c r="D6" s="13">
        <f>COUNTIFS(Tests!$A$2:$A$130,"E*",Tests!$E$2:$E$130,"FAIL")</f>
        <v/>
      </c>
      <c r="E6" s="13">
        <f>COUNTIFS(Tests!$A$2:$A$130,"E*",Tests!$E$2:$E$130,"SKIP")</f>
        <v/>
      </c>
      <c r="F6" s="13">
        <f>B6-C6-D6-E6</f>
        <v/>
      </c>
    </row>
    <row r="7">
      <c r="A7" s="13" t="inlineStr">
        <is>
          <t>Must NOT work (safety)</t>
        </is>
      </c>
      <c r="B7" s="13">
        <f>COUNTIF(Tests!$A$2:$A$130,"F*")</f>
        <v/>
      </c>
      <c r="C7" s="13">
        <f>COUNTIFS(Tests!$A$2:$A$130,"F*",Tests!$E$2:$E$130,"PASS")</f>
        <v/>
      </c>
      <c r="D7" s="13">
        <f>COUNTIFS(Tests!$A$2:$A$130,"F*",Tests!$E$2:$E$130,"FAIL")</f>
        <v/>
      </c>
      <c r="E7" s="13">
        <f>COUNTIFS(Tests!$A$2:$A$130,"F*",Tests!$E$2:$E$130,"SKIP")</f>
        <v/>
      </c>
      <c r="F7" s="13">
        <f>B7-C7-D7-E7</f>
        <v/>
      </c>
    </row>
    <row r="8">
      <c r="A8" s="14" t="inlineStr">
        <is>
          <t>Total</t>
        </is>
      </c>
      <c r="B8" s="14">
        <f>SUM(B2:B7)</f>
        <v/>
      </c>
      <c r="C8" s="14">
        <f>SUM(C2:C7)</f>
        <v/>
      </c>
      <c r="D8" s="14">
        <f>SUM(D2:D7)</f>
        <v/>
      </c>
      <c r="E8" s="14">
        <f>SUM(E2:E7)</f>
        <v/>
      </c>
      <c r="F8" s="14">
        <f>SUM(F2:F7)</f>
        <v/>
      </c>
    </row>
    <row r="10">
      <c r="A10" s="16" t="inlineStr">
        <is>
          <t>The counts update by themselves as you fill in the Tests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2026-10-28T20:19:14Z</dcterms:created>
  <dcterms:modified xsi:type="dcterms:W3CDTF">2026-10-29T09:32:33Z</dcterms:modified>
</cp:coreProperties>
</file>