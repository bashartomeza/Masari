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595959"/>
      </font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Masari test plan</t>
        </is>
      </c>
    </row>
    <row r="2">
      <c r="A2" s="2" t="inlineStr">
        <is>
          <t>Everything runs on a disposable demo database. Nothing touches real data or a real SMS provider.</t>
        </is>
      </c>
    </row>
    <row r="4">
      <c r="A4" s="3" t="inlineStr">
        <is>
          <t>HOW TO FILL IN</t>
        </is>
      </c>
      <c r="B4" s="4" t="n"/>
    </row>
    <row r="5">
      <c r="A5" s="5" t="inlineStr">
        <is>
          <t>1. Go to the Tests sheet.</t>
        </is>
      </c>
      <c r="B5" s="6" t="inlineStr">
        <is>
          <t>Do each step, in order within each area.</t>
        </is>
      </c>
    </row>
    <row r="6">
      <c r="A6" s="5" t="inlineStr">
        <is>
          <t>2. Yellow cells are yours.</t>
        </is>
      </c>
      <c r="B6" s="6" t="inlineStr">
        <is>
          <t>Column E: choose PASS, FAIL or SKIP from the dropdown.   Column F: for a FAIL write what you saw (a screenshot is a bonus).</t>
        </is>
      </c>
    </row>
    <row r="7">
      <c r="A7" s="5" t="inlineStr">
        <is>
          <t>3. Send the file back.</t>
        </is>
      </c>
      <c r="B7" s="6" t="inlineStr">
        <is>
          <t>Save it and send it to me. The Summary sheet counts the results automatically.</t>
        </is>
      </c>
    </row>
    <row r="9">
      <c r="A9" s="3" t="inlineStr">
        <is>
          <t>EXAMPLE (not a test)</t>
        </is>
      </c>
      <c r="B9" s="4" t="n"/>
    </row>
    <row r="10">
      <c r="A10" s="7" t="inlineStr">
        <is>
          <t>A99 | Open the site | The page loads</t>
        </is>
      </c>
      <c r="B10" s="7" t="inlineStr">
        <is>
          <t>Result: PASS      Notes: (empty is fine for a pass)</t>
        </is>
      </c>
    </row>
    <row r="11">
      <c r="A11" s="7" t="inlineStr">
        <is>
          <t>A98 | Press the big button | A message appears</t>
        </is>
      </c>
      <c r="B11" s="7" t="inlineStr">
        <is>
          <t>Result: FAIL      Notes: Nothing happened, the button stayed grey (screenshot attached)</t>
        </is>
      </c>
    </row>
    <row r="13">
      <c r="A13" s="3" t="inlineStr">
        <is>
          <t>SETUP</t>
        </is>
      </c>
      <c r="B13" s="4" t="n"/>
    </row>
    <row r="14">
      <c r="A14" s="5" t="inlineStr">
        <is>
          <t>Admin site</t>
        </is>
      </c>
      <c r="B14" s="6" t="inlineStr">
        <is>
          <t>http://localhost:5173   (sign in: demo.admin@masari.app, password = DEMO_ADMIN_PASSWORD in apps/api/.env)</t>
        </is>
      </c>
    </row>
    <row r="15">
      <c r="A15" s="5" t="inlineStr">
        <is>
          <t>API</t>
        </is>
      </c>
      <c r="B15" s="6" t="inlineStr">
        <is>
          <t>http://localhost:3000   (the emulator reaches it as http://10.0.2.2:3000)</t>
        </is>
      </c>
    </row>
    <row r="16">
      <c r="A16" s="5" t="inlineStr">
        <is>
          <t>Phone sign-ins</t>
        </is>
      </c>
      <c r="B16" s="6" t="inlineStr">
        <is>
          <t>demo.passenger@masari.app, demo.driver@masari.app (and demo.driver2@masari.app), demo.merchant@masari.app. Passwords: DEMO_PASSENGER_PASSWORD, DEMO_DRIVER_PASSWORD, DEMO_MERCHANT_PASSWORD in apps/api/.env</t>
        </is>
      </c>
    </row>
    <row r="17">
      <c r="A17" s="5" t="inlineStr">
        <is>
          <t>Sign-up invitation codes</t>
        </is>
      </c>
      <c r="B17" s="6" t="inlineStr">
        <is>
          <t>.staging-data/test-env/invitations.txt   (passenger +970590002001, driver +970590002002, merchant +970590002003)</t>
        </is>
      </c>
    </row>
    <row r="18">
      <c r="A18" s="5" t="inlineStr">
        <is>
          <t>One-time SMS codes</t>
        </is>
      </c>
      <c r="B18" s="6" t="inlineStr">
        <is>
          <t>No real SMS is sent. Open .staging-data/test-env/otp.txt and use the newest line.</t>
        </is>
      </c>
    </row>
    <row r="19">
      <c r="A19" s="5" t="inlineStr">
        <is>
          <t>Sample files on the emulator</t>
        </is>
      </c>
      <c r="B19" s="6" t="inlineStr">
        <is>
          <t>licence.jpg (valid), vehicle-registration.pdf (valid), not-really-an-image.jpg (text pretending to be a photo) - all in Downloads</t>
        </is>
      </c>
    </row>
    <row r="20">
      <c r="A20" s="5" t="inlineStr">
        <is>
          <t>Demo accounts waiting for review</t>
        </is>
      </c>
      <c r="B20" s="6" t="inlineStr">
        <is>
          <t>Demo Pending Merchant, Demo Pending Driver, Demo Rejected Driver</t>
        </is>
      </c>
    </row>
    <row r="21">
      <c r="A21" s="5" t="inlineStr">
        <is>
          <t>Start everything</t>
        </is>
      </c>
      <c r="B21" s="6" t="inlineStr">
        <is>
          <t>pwsh -NoProfile -File scripts/test-env/start.ps1</t>
        </is>
      </c>
    </row>
    <row r="22">
      <c r="A22" s="5" t="inlineStr">
        <is>
          <t>Back to a clean start</t>
        </is>
      </c>
      <c r="B22" s="6" t="inlineStr">
        <is>
          <t>pwsh -NoProfile -File scripts/test-env/reset-data.ps1   (do this before repeating sign-up or approval tests: they use things up)</t>
        </is>
      </c>
    </row>
    <row r="23">
      <c r="A23" s="5" t="inlineStr">
        <is>
          <t>Stop everything</t>
        </is>
      </c>
      <c r="B23" s="6" t="inlineStr">
        <is>
          <t>pwsh -NoProfile -File scripts/test-env/stop.ps1</t>
        </is>
      </c>
    </row>
    <row r="24">
      <c r="A24" s="5" t="inlineStr">
        <is>
          <t>Maps are grey or empty?</t>
        </is>
      </c>
      <c r="B24" s="6" t="inlineStr">
        <is>
          <t>The maps load tiles from OpenStreetMap, so the emulator needs internet. If a map is a grey box, close the emulator and start it again with: emulator -avd Medium_Phone_API_36.0 -no-snapshot-load -dns-server 8.8.8.8,1.1.1.1</t>
        </is>
      </c>
    </row>
    <row r="26">
      <c r="A26" s="3" t="inlineStr">
        <is>
          <t>NOT IN SCOPE (do not report as bugs)</t>
        </is>
      </c>
      <c r="B26" s="4" t="n"/>
    </row>
    <row r="27">
      <c r="A27" s="5" t="inlineStr"/>
      <c r="B27" s="6" t="inlineStr">
        <is>
          <t>Real SMS delivery (codes come from otp.txt), push notifications, payments, fares and earnings amounts, live tracking, PDF or Excel exports, maps and checkpoint feeds (switched off), and anything on a real server.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8" customWidth="1" min="3" max="3"/>
    <col width="52" customWidth="1" min="4" max="4"/>
    <col width="11" customWidth="1" min="5" max="5"/>
    <col width="48" customWidth="1" min="6" max="6"/>
  </cols>
  <sheetData>
    <row r="1" ht="22" customHeight="1">
      <c r="A1" s="8" t="inlineStr">
        <is>
          <t>ID</t>
        </is>
      </c>
      <c r="B1" s="8" t="inlineStr">
        <is>
          <t>Area</t>
        </is>
      </c>
      <c r="C1" s="8" t="inlineStr">
        <is>
          <t>What to do</t>
        </is>
      </c>
      <c r="D1" s="8" t="inlineStr">
        <is>
          <t>What you should see</t>
        </is>
      </c>
      <c r="E1" s="8" t="inlineStr">
        <is>
          <t>Result</t>
        </is>
      </c>
      <c r="F1" s="8" t="inlineStr">
        <is>
          <t>What you saw (notes)</t>
        </is>
      </c>
    </row>
    <row r="2">
      <c r="A2" s="9" t="inlineStr">
        <is>
          <t>A01</t>
        </is>
      </c>
      <c r="B2" s="10" t="inlineStr">
        <is>
          <t>Admin site</t>
        </is>
      </c>
      <c r="C2" s="10" t="inlineStr">
        <is>
          <t>Open the site, sign in as the Admin</t>
        </is>
      </c>
      <c r="D2" s="10" t="inlineStr">
        <is>
          <t>Overview opens; your name shows in the header</t>
        </is>
      </c>
      <c r="E2" s="11" t="n"/>
      <c r="F2" s="11" t="n"/>
    </row>
    <row r="3">
      <c r="A3" s="9" t="inlineStr">
        <is>
          <t>A02</t>
        </is>
      </c>
      <c r="B3" s="10" t="inlineStr">
        <is>
          <t>Admin site</t>
        </is>
      </c>
      <c r="C3" s="10" t="inlineStr">
        <is>
          <t>Sign in with a wrong password</t>
        </is>
      </c>
      <c r="D3" s="10" t="inlineStr">
        <is>
          <t>A clear error; you stay on the sign-in screen</t>
        </is>
      </c>
      <c r="E3" s="11" t="n"/>
      <c r="F3" s="11" t="n"/>
    </row>
    <row r="4">
      <c r="A4" s="9" t="inlineStr">
        <is>
          <t>A03</t>
        </is>
      </c>
      <c r="B4" s="10" t="inlineStr">
        <is>
          <t>Admin site</t>
        </is>
      </c>
      <c r="C4" s="10" t="inlineStr">
        <is>
          <t>Switch Arabic ⇄ English</t>
        </is>
      </c>
      <c r="D4" s="10" t="inlineStr">
        <is>
          <t>Whole page flips language and direction (right-to-left in Arabic); nothing overlaps or is cut off</t>
        </is>
      </c>
      <c r="E4" s="11" t="n"/>
      <c r="F4" s="11" t="n"/>
    </row>
    <row r="5">
      <c r="A5" s="9" t="inlineStr">
        <is>
          <t>A04</t>
        </is>
      </c>
      <c r="B5" s="10" t="inlineStr">
        <is>
          <t>Admin site</t>
        </is>
      </c>
      <c r="C5" s="10" t="inlineStr">
        <is>
          <t>Open every item in the left menu, one by one</t>
        </is>
      </c>
      <c r="D5" s="10" t="inlineStr">
        <is>
          <t>Each page opens without a crash. Pages that are not built say so plainly (no fake numbers)</t>
        </is>
      </c>
      <c r="E5" s="11" t="n"/>
      <c r="F5" s="11" t="n"/>
    </row>
    <row r="6">
      <c r="A6" s="9" t="inlineStr">
        <is>
          <t>A05</t>
        </is>
      </c>
      <c r="B6" s="10" t="inlineStr">
        <is>
          <t>Admin site</t>
        </is>
      </c>
      <c r="C6" s="10" t="inlineStr">
        <is>
          <t>Overview cards</t>
        </is>
      </c>
      <c r="D6" s="10" t="inlineStr">
        <is>
          <t>Active drivers, Pending approvals (1 right after a reset: the pending demo driver) and Incidents show numbers, not errors</t>
        </is>
      </c>
      <c r="E6" s="11" t="n"/>
      <c r="F6" s="11" t="n"/>
    </row>
    <row r="7">
      <c r="A7" s="9" t="inlineStr">
        <is>
          <t>A06</t>
        </is>
      </c>
      <c r="B7" s="10" t="inlineStr">
        <is>
          <t>Admin site</t>
        </is>
      </c>
      <c r="C7" s="10" t="inlineStr">
        <is>
          <t>Users: search by name, filter by role and status</t>
        </is>
      </c>
      <c r="D7" s="10" t="inlineStr">
        <is>
          <t>Lists narrow correctly; the pending/rejected demo accounts are findable</t>
        </is>
      </c>
      <c r="E7" s="11" t="n"/>
      <c r="F7" s="11" t="n"/>
    </row>
    <row r="8">
      <c r="A8" s="9" t="inlineStr">
        <is>
          <t>A07</t>
        </is>
      </c>
      <c r="B8" s="10" t="inlineStr">
        <is>
          <t>Admin site</t>
        </is>
      </c>
      <c r="C8" s="10" t="inlineStr">
        <is>
          <t>Users: open a user</t>
        </is>
      </c>
      <c r="D8" s="10" t="inlineStr">
        <is>
          <t>Detail shows role, status and no passwords or tokens</t>
        </is>
      </c>
      <c r="E8" s="11" t="n"/>
      <c r="F8" s="11" t="n"/>
    </row>
    <row r="9">
      <c r="A9" s="9" t="inlineStr">
        <is>
          <t>A08</t>
        </is>
      </c>
      <c r="B9" s="10" t="inlineStr">
        <is>
          <t>Admin site</t>
        </is>
      </c>
      <c r="C9" s="10" t="inlineStr">
        <is>
          <t>Users: suspend a demo passenger with a reason, then reactivate</t>
        </is>
      </c>
      <c r="D9" s="10" t="inlineStr">
        <is>
          <t>Status changes and shows in the list; the reason is required for suspend</t>
        </is>
      </c>
      <c r="E9" s="11" t="n"/>
      <c r="F9" s="11" t="n"/>
    </row>
    <row r="10">
      <c r="A10" s="9" t="inlineStr">
        <is>
          <t>A09</t>
        </is>
      </c>
      <c r="B10" s="10" t="inlineStr">
        <is>
          <t>Admin site</t>
        </is>
      </c>
      <c r="C10" s="10" t="inlineStr">
        <is>
          <t>Merchant approval: Users → filter Pending → Demo Pending Merchant → Approve</t>
        </is>
      </c>
      <c r="D10" s="10" t="inlineStr">
        <is>
          <t>Account becomes active. (Then sign that merchant in on the phone: it works)</t>
        </is>
      </c>
      <c r="E10" s="11" t="n"/>
      <c r="F10" s="11" t="n"/>
    </row>
    <row r="11">
      <c r="A11" s="9" t="inlineStr">
        <is>
          <t>A10</t>
        </is>
      </c>
      <c r="B11" s="10" t="inlineStr">
        <is>
          <t>Admin site</t>
        </is>
      </c>
      <c r="C11" s="10" t="inlineStr">
        <is>
          <t>Reject a different pending merchant (use reset first if none left) with no reason, then with a reason</t>
        </is>
      </c>
      <c r="D11" s="10" t="inlineStr">
        <is>
          <t>Without a reason it refuses; with one the account is disabled</t>
        </is>
      </c>
      <c r="E11" s="11" t="n"/>
      <c r="F11" s="11" t="n"/>
    </row>
    <row r="12">
      <c r="A12" s="9" t="inlineStr">
        <is>
          <t>A11</t>
        </is>
      </c>
      <c r="B12" s="10" t="inlineStr">
        <is>
          <t>Admin site</t>
        </is>
      </c>
      <c r="C12" s="10" t="inlineStr">
        <is>
          <t>Drivers &amp; verification → Pending → Demo Pending Driver</t>
        </is>
      </c>
      <c r="D12" s="10" t="inlineStr">
        <is>
          <t>Review panel opens with profile, vehicle section and a decision area</t>
        </is>
      </c>
      <c r="E12" s="11" t="n"/>
      <c r="F12" s="11" t="n"/>
    </row>
    <row r="13">
      <c r="A13" s="9" t="inlineStr">
        <is>
          <t>A12</t>
        </is>
      </c>
      <c r="B13" s="10" t="inlineStr">
        <is>
          <t>Admin site</t>
        </is>
      </c>
      <c r="C13" s="10" t="inlineStr">
        <is>
          <t>In that review, record evidence: choose "Driver licence", add a short note, Record sighting</t>
        </is>
      </c>
      <c r="D13" s="10" t="inlineStr">
        <is>
          <t>It appears in the list with your name and time; the status text changes from "not collected"</t>
        </is>
      </c>
      <c r="E13" s="11" t="n"/>
      <c r="F13" s="11" t="n"/>
    </row>
    <row r="14">
      <c r="A14" s="9" t="inlineStr">
        <is>
          <t>A13</t>
        </is>
      </c>
      <c r="B14" s="10" t="inlineStr">
        <is>
          <t>Admin site</t>
        </is>
      </c>
      <c r="C14" s="10" t="inlineStr">
        <is>
          <t>Approve the pending driver (enter a vehicle type, seats, parcel capacity)</t>
        </is>
      </c>
      <c r="D14" s="10" t="inlineStr">
        <is>
          <t>Status Approved; history shows the decision</t>
        </is>
      </c>
      <c r="E14" s="11" t="n"/>
      <c r="F14" s="11" t="n"/>
    </row>
    <row r="15">
      <c r="A15" s="9" t="inlineStr">
        <is>
          <t>A14</t>
        </is>
      </c>
      <c r="B15" s="10" t="inlineStr">
        <is>
          <t>Admin site</t>
        </is>
      </c>
      <c r="C15" s="10" t="inlineStr">
        <is>
          <t>Drivers → Rejected → Demo Rejected Driver → Reopen for review (give a reason)</t>
        </is>
      </c>
      <c r="D15" s="10" t="inlineStr">
        <is>
          <t>It returns to Pending; history keeps the earlier rejection and shows "Reopened"</t>
        </is>
      </c>
      <c r="E15" s="11" t="n"/>
      <c r="F15" s="11" t="n"/>
    </row>
    <row r="16">
      <c r="A16" s="9" t="inlineStr">
        <is>
          <t>A15</t>
        </is>
      </c>
      <c r="B16" s="10" t="inlineStr">
        <is>
          <t>Admin site</t>
        </is>
      </c>
      <c r="C16" s="10" t="inlineStr">
        <is>
          <t>Reject a pending driver without a reason</t>
        </is>
      </c>
      <c r="D16" s="10" t="inlineStr">
        <is>
          <t>It refuses; with a reason it works</t>
        </is>
      </c>
      <c r="E16" s="11" t="n"/>
      <c r="F16" s="11" t="n"/>
    </row>
    <row r="17">
      <c r="A17" s="9" t="inlineStr">
        <is>
          <t>A16</t>
        </is>
      </c>
      <c r="B17" s="10" t="inlineStr">
        <is>
          <t>Admin site</t>
        </is>
      </c>
      <c r="C17" s="10" t="inlineStr">
        <is>
          <t>Incidents (after a phone report, see E07)</t>
        </is>
      </c>
      <c r="D17" s="10" t="inlineStr">
        <is>
          <t>The report is listed as New; Start review with a note, then Mark resolved; Resolved cannot be changed back</t>
        </is>
      </c>
      <c r="E17" s="11" t="n"/>
      <c r="F17" s="11" t="n"/>
    </row>
    <row r="18">
      <c r="A18" s="9" t="inlineStr">
        <is>
          <t>A17</t>
        </is>
      </c>
      <c r="B18" s="10" t="inlineStr">
        <is>
          <t>Admin site</t>
        </is>
      </c>
      <c r="C18" s="10" t="inlineStr">
        <is>
          <t>Reports page: change dates, download all three CSV files</t>
        </is>
      </c>
      <c r="D18" s="10" t="inlineStr">
        <is>
          <t>Numbers match the lists; files open (Arabic text readable in Excel)</t>
        </is>
      </c>
      <c r="E18" s="11" t="n"/>
      <c r="F18" s="11" t="n"/>
    </row>
    <row r="19">
      <c r="A19" s="9" t="inlineStr">
        <is>
          <t>A18</t>
        </is>
      </c>
      <c r="B19" s="10" t="inlineStr">
        <is>
          <t>Admin site</t>
        </is>
      </c>
      <c r="C19" s="10" t="inlineStr">
        <is>
          <t>Matching, Shipments &amp; batching, Trips &amp; tracking, Comparison pages</t>
        </is>
      </c>
      <c r="D19" s="10" t="inlineStr">
        <is>
          <t>They show the seeded demo data (the combined passenger+parcel trip, the 1-trip-vs-6 comparison) without errors</t>
        </is>
      </c>
      <c r="E19" s="11" t="n"/>
      <c r="F19" s="11" t="n"/>
    </row>
    <row r="20">
      <c r="A20" s="9" t="inlineStr">
        <is>
          <t>A19</t>
        </is>
      </c>
      <c r="B20" s="10" t="inlineStr">
        <is>
          <t>Admin site</t>
        </is>
      </c>
      <c r="C20" s="10" t="inlineStr">
        <is>
          <t>Sign out, then press the browser Back button</t>
        </is>
      </c>
      <c r="D20" s="10" t="inlineStr">
        <is>
          <t>You are not let back into the Admin pages</t>
        </is>
      </c>
      <c r="E20" s="11" t="n"/>
      <c r="F20" s="11" t="n"/>
    </row>
    <row r="21">
      <c r="A21" s="9" t="inlineStr">
        <is>
          <t>B01</t>
        </is>
      </c>
      <c r="B21" s="10" t="inlineStr">
        <is>
          <t>Phone: signing in</t>
        </is>
      </c>
      <c r="C21" s="10" t="inlineStr">
        <is>
          <t>Open the app</t>
        </is>
      </c>
      <c r="D21" s="10" t="inlineStr">
        <is>
          <t>Sign-in screen, Arabic by default, right-to-left</t>
        </is>
      </c>
      <c r="E21" s="11" t="n"/>
      <c r="F21" s="11" t="n"/>
    </row>
    <row r="22">
      <c r="A22" s="9" t="inlineStr">
        <is>
          <t>B02</t>
        </is>
      </c>
      <c r="B22" s="10" t="inlineStr">
        <is>
          <t>Phone: signing in</t>
        </is>
      </c>
      <c r="C22" s="10" t="inlineStr">
        <is>
          <t>Switch to English with the globe icon</t>
        </is>
      </c>
      <c r="D22" s="10" t="inlineStr">
        <is>
          <t>Everything flips to English, left-to-right; switch back works</t>
        </is>
      </c>
      <c r="E22" s="11" t="n"/>
      <c r="F22" s="11" t="n"/>
    </row>
    <row r="23">
      <c r="A23" s="9" t="inlineStr">
        <is>
          <t>B03</t>
        </is>
      </c>
      <c r="B23" s="10" t="inlineStr">
        <is>
          <t>Phone: signing in</t>
        </is>
      </c>
      <c r="C23" s="10" t="inlineStr">
        <is>
          <t>Wrong email/password</t>
        </is>
      </c>
      <c r="D23" s="10" t="inlineStr">
        <is>
          <t>A clear "incorrect" message, not a crash or a network error</t>
        </is>
      </c>
      <c r="E23" s="11" t="n"/>
      <c r="F23" s="11" t="n"/>
    </row>
    <row r="24">
      <c r="A24" s="9" t="inlineStr">
        <is>
          <t>B04</t>
        </is>
      </c>
      <c r="B24" s="10" t="inlineStr">
        <is>
          <t>Phone: signing in</t>
        </is>
      </c>
      <c r="C24" s="10" t="inlineStr">
        <is>
          <t>Sign in as the demo passenger</t>
        </is>
      </c>
      <c r="D24" s="10" t="inlineStr">
        <is>
          <t>Passenger home opens</t>
        </is>
      </c>
      <c r="E24" s="11" t="n"/>
      <c r="F24" s="11" t="n"/>
    </row>
    <row r="25">
      <c r="A25" s="9" t="inlineStr">
        <is>
          <t>B05</t>
        </is>
      </c>
      <c r="B25" s="10" t="inlineStr">
        <is>
          <t>Phone: signing in</t>
        </is>
      </c>
      <c r="C25" s="10" t="inlineStr">
        <is>
          <t>Sign out, sign in as the demo driver, then the demo merchant</t>
        </is>
      </c>
      <c r="D25" s="10" t="inlineStr">
        <is>
          <t>Each role sees its own home and tabs, and none of the other roles' screens</t>
        </is>
      </c>
      <c r="E25" s="11" t="n"/>
      <c r="F25" s="11" t="n"/>
    </row>
    <row r="26">
      <c r="A26" s="9" t="inlineStr">
        <is>
          <t>B06</t>
        </is>
      </c>
      <c r="B26" s="10" t="inlineStr">
        <is>
          <t>Phone: signing in</t>
        </is>
      </c>
      <c r="C26" s="10" t="inlineStr">
        <is>
          <t>Close the app completely and reopen it</t>
        </is>
      </c>
      <c r="D26" s="10" t="inlineStr">
        <is>
          <t>You are still signed in (or sent to sign-in, but never to a broken screen)</t>
        </is>
      </c>
      <c r="E26" s="11" t="n"/>
      <c r="F26" s="11" t="n"/>
    </row>
    <row r="27">
      <c r="A27" s="9" t="inlineStr">
        <is>
          <t>B07</t>
        </is>
      </c>
      <c r="B27" s="10" t="inlineStr">
        <is>
          <t>Phone: signing in</t>
        </is>
      </c>
      <c r="C27" s="10" t="inlineStr">
        <is>
          <t>Turn the emulator's internet off (airplane mode) and open a list</t>
        </is>
      </c>
      <c r="D27" s="10" t="inlineStr">
        <is>
          <t>A friendly offline/error message with a retry; no crash</t>
        </is>
      </c>
      <c r="E27" s="11" t="n"/>
      <c r="F27" s="11" t="n"/>
    </row>
    <row r="28">
      <c r="A28" s="9" t="inlineStr">
        <is>
          <t>C01</t>
        </is>
      </c>
      <c r="B28" s="10" t="inlineStr">
        <is>
          <t>Phone: sign-up with invitation</t>
        </is>
      </c>
      <c r="C28" s="10" t="inlineStr">
        <is>
          <t>Sign-in screen → "New to Masari? Create an account"</t>
        </is>
      </c>
      <c r="D28" s="10" t="inlineStr">
        <is>
          <t>A screen asks "How will you use Masari?" with three choices: Normal user, Driver, Shop owner. Normal user opens the email sign-up form; Driver and Shop owner open the invitation-code and phone screen with the role already chosen; Back returns to sign-in</t>
        </is>
      </c>
      <c r="E28" s="11" t="n"/>
      <c r="F28" s="11" t="n"/>
    </row>
    <row r="29">
      <c r="A29" s="9" t="inlineStr">
        <is>
          <t>C02</t>
        </is>
      </c>
      <c r="B29" s="10" t="inlineStr">
        <is>
          <t>Phone: sign-up with invitation</t>
        </is>
      </c>
      <c r="C29" s="10" t="inlineStr">
        <is>
          <t>Enter a wrong code</t>
        </is>
      </c>
      <c r="D29" s="10" t="inlineStr">
        <is>
          <t>A clear error; you can try again</t>
        </is>
      </c>
      <c r="E29" s="11" t="n"/>
      <c r="F29" s="11" t="n"/>
    </row>
    <row r="30">
      <c r="A30" s="9" t="inlineStr">
        <is>
          <t>C03</t>
        </is>
      </c>
      <c r="B30" s="10" t="inlineStr">
        <is>
          <t>Phone: sign-up with invitation</t>
        </is>
      </c>
      <c r="C30" s="10" t="inlineStr">
        <is>
          <t>Choose Shop owner (invitation code and +970590002003), enter the right code (from otp.txt), then name, a password of at least 15 characters, tick the three consents, Create account</t>
        </is>
      </c>
      <c r="D30" s="10" t="inlineStr">
        <is>
          <t>Account created; the screen says the account is pending and an admin review usually takes up to 24 hours</t>
        </is>
      </c>
      <c r="E30" s="11" t="n"/>
      <c r="F30" s="11" t="n"/>
    </row>
    <row r="31">
      <c r="A31" s="9" t="inlineStr">
        <is>
          <t>C04</t>
        </is>
      </c>
      <c r="B31" s="10" t="inlineStr">
        <is>
          <t>Phone: sign-up with invitation</t>
        </is>
      </c>
      <c r="C31" s="10" t="inlineStr">
        <is>
          <t>Repeat for the driver (+970590002002)</t>
        </is>
      </c>
      <c r="D31" s="10" t="inlineStr">
        <is>
          <t>The screen says "Application under review" and shows a "Verification documents" card</t>
        </is>
      </c>
      <c r="E31" s="11" t="n"/>
      <c r="F31" s="11" t="n"/>
    </row>
    <row r="32">
      <c r="A32" s="9" t="inlineStr">
        <is>
          <t>C05</t>
        </is>
      </c>
      <c r="B32" s="10" t="inlineStr">
        <is>
          <t>Phone: sign-up with invitation</t>
        </is>
      </c>
      <c r="C32" s="10" t="inlineStr">
        <is>
          <t>Driver: Add a document → choose licence.jpg (type "Driving licence")</t>
        </is>
      </c>
      <c r="D32" s="10" t="inlineStr">
        <is>
          <t>It appears in the list as "Driving licence · 1 KB"</t>
        </is>
      </c>
      <c r="E32" s="11" t="n"/>
      <c r="F32" s="11" t="n"/>
    </row>
    <row r="33">
      <c r="A33" s="9" t="inlineStr">
        <is>
          <t>C06</t>
        </is>
      </c>
      <c r="B33" s="10" t="inlineStr">
        <is>
          <t>Phone: sign-up with invitation</t>
        </is>
      </c>
      <c r="C33" s="10" t="inlineStr">
        <is>
          <t>Add vehicle-registration.pdf with type "Vehicle registration"</t>
        </is>
      </c>
      <c r="D33" s="10" t="inlineStr">
        <is>
          <t>It appears in the list</t>
        </is>
      </c>
      <c r="E33" s="11" t="n"/>
      <c r="F33" s="11" t="n"/>
    </row>
    <row r="34">
      <c r="A34" s="9" t="inlineStr">
        <is>
          <t>C07</t>
        </is>
      </c>
      <c r="B34" s="10" t="inlineStr">
        <is>
          <t>Phone: sign-up with invitation</t>
        </is>
      </c>
      <c r="C34" s="10" t="inlineStr">
        <is>
          <t>Add not-really-an-image.jpg</t>
        </is>
      </c>
      <c r="D34" s="10" t="inlineStr">
        <is>
          <t>Refused with "Only JPEG, PNG or PDF files can be uploaded"; nothing added</t>
        </is>
      </c>
      <c r="E34" s="11" t="n"/>
      <c r="F34" s="11" t="n"/>
    </row>
    <row r="35">
      <c r="A35" s="9" t="inlineStr">
        <is>
          <t>C08</t>
        </is>
      </c>
      <c r="B35" s="10" t="inlineStr">
        <is>
          <t>Phone: sign-up with invitation</t>
        </is>
      </c>
      <c r="C35" s="10" t="inlineStr">
        <is>
          <t>Tap the bin on one document</t>
        </is>
      </c>
      <c r="D35" s="10" t="inlineStr">
        <is>
          <t>It disappears from the list</t>
        </is>
      </c>
      <c r="E35" s="11" t="n"/>
      <c r="F35" s="11" t="n"/>
    </row>
    <row r="36">
      <c r="A36" s="9" t="inlineStr">
        <is>
          <t>C09</t>
        </is>
      </c>
      <c r="B36" s="10" t="inlineStr">
        <is>
          <t>Phone: sign-up with invitation</t>
        </is>
      </c>
      <c r="C36" s="10" t="inlineStr">
        <is>
          <t>Try to add more than 6 documents</t>
        </is>
      </c>
      <c r="D36" s="10" t="inlineStr">
        <is>
          <t>After 6 the Add button is disabled or a limit message shows</t>
        </is>
      </c>
      <c r="E36" s="11" t="n"/>
      <c r="F36" s="11" t="n"/>
    </row>
    <row r="37">
      <c r="A37" s="9" t="inlineStr">
        <is>
          <t>C10</t>
        </is>
      </c>
      <c r="B37" s="10" t="inlineStr">
        <is>
          <t>Phone: sign-up with invitation</t>
        </is>
      </c>
      <c r="C37" s="10" t="inlineStr">
        <is>
          <t>In the Admin site, open that driver's review</t>
        </is>
      </c>
      <c r="D37" s="10" t="inlineStr">
        <is>
          <t>The uploaded documents are listed with a Download button; the downloaded file opens and is the right file</t>
        </is>
      </c>
      <c r="E37" s="11" t="n"/>
      <c r="F37" s="11" t="n"/>
    </row>
    <row r="38">
      <c r="A38" s="9" t="inlineStr">
        <is>
          <t>C11</t>
        </is>
      </c>
      <c r="B38" s="10" t="inlineStr">
        <is>
          <t>Phone: sign-up with invitation</t>
        </is>
      </c>
      <c r="C38" s="10" t="inlineStr">
        <is>
          <t>Try to sign in on the phone as the new (pending) driver</t>
        </is>
      </c>
      <c r="D38" s="10" t="inlineStr">
        <is>
          <t>You are not let in (account pending), with a clear message</t>
        </is>
      </c>
      <c r="E38" s="11" t="n"/>
      <c r="F38" s="11" t="n"/>
    </row>
    <row r="39">
      <c r="A39" s="9" t="inlineStr">
        <is>
          <t>C12</t>
        </is>
      </c>
      <c r="B39" s="10" t="inlineStr">
        <is>
          <t>Phone: sign-up with invitation</t>
        </is>
      </c>
      <c r="C39" s="10" t="inlineStr">
        <is>
          <t>Admin approves that driver (A13), then press Refresh in the app's pending screen</t>
        </is>
      </c>
      <c r="D39" s="10" t="inlineStr">
        <is>
          <t>It now says approved and offers sign-in; sign-in works</t>
        </is>
      </c>
      <c r="E39" s="11" t="n"/>
      <c r="F39" s="11" t="n"/>
    </row>
    <row r="40">
      <c r="A40" s="9" t="inlineStr">
        <is>
          <t>C13</t>
        </is>
      </c>
      <c r="B40" s="10" t="inlineStr">
        <is>
          <t>Phone: sign-up with invitation</t>
        </is>
      </c>
      <c r="C40" s="10" t="inlineStr">
        <is>
          <t>Admin approves the shop owner from C03 (A09), then sign in on the phone with their phone number and password</t>
        </is>
      </c>
      <c r="D40" s="10" t="inlineStr">
        <is>
          <t>Same pending → approved path; the merchant home opens</t>
        </is>
      </c>
      <c r="E40" s="11" t="n"/>
      <c r="F40" s="11" t="n"/>
    </row>
    <row r="41">
      <c r="A41" s="9" t="inlineStr">
        <is>
          <t>C14</t>
        </is>
      </c>
      <c r="B41" s="10" t="inlineStr">
        <is>
          <t>Phone: sign-up with invitation</t>
        </is>
      </c>
      <c r="C41" s="10" t="inlineStr">
        <is>
          <t>Use an invitation code twice, or a code with the wrong phone</t>
        </is>
      </c>
      <c r="D41" s="10" t="inlineStr">
        <is>
          <t>Refused without revealing why</t>
        </is>
      </c>
      <c r="E41" s="11" t="n"/>
      <c r="F41" s="11" t="n"/>
    </row>
    <row r="42">
      <c r="A42" s="9" t="inlineStr">
        <is>
          <t>C15</t>
        </is>
      </c>
      <c r="B42" s="10" t="inlineStr">
        <is>
          <t>Phone: sign-up with invitation</t>
        </is>
      </c>
      <c r="C42" s="10" t="inlineStr">
        <is>
          <t>Sign-in screen → "Check an existing application" with a pending applicant's phone and password</t>
        </is>
      </c>
      <c r="D42" s="10" t="inlineStr">
        <is>
          <t>Shows the application status</t>
        </is>
      </c>
      <c r="E42" s="11" t="n"/>
      <c r="F42" s="11" t="n"/>
    </row>
    <row r="43">
      <c r="A43" s="9" t="inlineStr">
        <is>
          <t>C16</t>
        </is>
      </c>
      <c r="B43" s="10" t="inlineStr">
        <is>
          <t>Phone: sign-up with invitation</t>
        </is>
      </c>
      <c r="C43" s="10" t="inlineStr">
        <is>
          <t>Shop owner (pending, from C03): Add a document → choose licence.jpg (type "Commercial register")</t>
        </is>
      </c>
      <c r="D43" s="10" t="inlineStr">
        <is>
          <t>The pending screen shows "Verification documents" asking for the commercial register, national ID and shop photo; the file appears in the list as "Commercial register · 1 KB"</t>
        </is>
      </c>
      <c r="E43" s="11" t="n"/>
      <c r="F43" s="11" t="n"/>
    </row>
    <row r="44">
      <c r="A44" s="9" t="inlineStr">
        <is>
          <t>C17</t>
        </is>
      </c>
      <c r="B44" s="10" t="inlineStr">
        <is>
          <t>Phone: sign-up with invitation</t>
        </is>
      </c>
      <c r="C44" s="10" t="inlineStr">
        <is>
          <t>In the Admin site, Users → the pending shop owner → Approve (or Reject)</t>
        </is>
      </c>
      <c r="D44" s="10" t="inlineStr">
        <is>
          <t>The shop owner's documents are listed with a Download button before you decide; the downloaded file opens and is the right file</t>
        </is>
      </c>
      <c r="E44" s="11" t="n"/>
      <c r="F44" s="11" t="n"/>
    </row>
    <row r="45">
      <c r="A45" s="9" t="inlineStr">
        <is>
          <t>C18</t>
        </is>
      </c>
      <c r="B45" s="10" t="inlineStr">
        <is>
          <t>Phone: sign-up with invitation</t>
        </is>
      </c>
      <c r="C45" s="10" t="inlineStr">
        <is>
          <t>Create account → Normal user → name, an email ending in @example.com, a password of at least 12 characters → Sign up; type the six-digit code from email-codes.txt, tick the three documents, Continue; then enter a phone such as +970590003020, Send code, type the code from otp.txt, Continue</t>
        </is>
      </c>
      <c r="D45" s="10" t="inlineStr">
        <is>
          <t>The passenger home opens; no invitation code and no admin approval were needed</t>
        </is>
      </c>
      <c r="E45" s="11" t="n"/>
      <c r="F45" s="11" t="n"/>
    </row>
    <row r="46">
      <c r="A46" s="9" t="inlineStr">
        <is>
          <t>D01</t>
        </is>
      </c>
      <c r="B46" s="10" t="inlineStr">
        <is>
          <t>Main story (passenger, merchant, driver)</t>
        </is>
      </c>
      <c r="C46" s="10" t="inlineStr">
        <is>
          <t>Passenger: open the seeded request and its match</t>
        </is>
      </c>
      <c r="D46" s="10" t="inlineStr">
        <is>
          <t>The request and a match result are shown</t>
        </is>
      </c>
      <c r="E46" s="11" t="n"/>
      <c r="F46" s="11" t="n"/>
    </row>
    <row r="47">
      <c r="A47" s="9" t="inlineStr">
        <is>
          <t>D02</t>
        </is>
      </c>
      <c r="B47" s="10" t="inlineStr">
        <is>
          <t>Main story (passenger, merchant, driver)</t>
        </is>
      </c>
      <c r="C47" s="10" t="inlineStr">
        <is>
          <t>Merchant: open the seeded order</t>
        </is>
      </c>
      <c r="D47" s="10" t="inlineStr">
        <is>
          <t>Five parcels and their batch are shown</t>
        </is>
      </c>
      <c r="E47" s="11" t="n"/>
      <c r="F47" s="11" t="n"/>
    </row>
    <row r="48">
      <c r="A48" s="9" t="inlineStr">
        <is>
          <t>D03</t>
        </is>
      </c>
      <c r="B48" s="10" t="inlineStr">
        <is>
          <t>Main story (passenger, merchant, driver)</t>
        </is>
      </c>
      <c r="C48" s="10" t="inlineStr">
        <is>
          <t>Admin: open the Matching page; if there is no match yet, run matching</t>
        </is>
      </c>
      <c r="D48" s="10" t="inlineStr">
        <is>
          <t>One combined passenger+parcel match exists, with a score breakdown</t>
        </is>
      </c>
      <c r="E48" s="11" t="n"/>
      <c r="F48" s="11" t="n"/>
    </row>
    <row r="49">
      <c r="A49" s="9" t="inlineStr">
        <is>
          <t>D04</t>
        </is>
      </c>
      <c r="B49" s="10" t="inlineStr">
        <is>
          <t>Main story (passenger, merchant, driver)</t>
        </is>
      </c>
      <c r="C49" s="10" t="inlineStr">
        <is>
          <t>Driver (the selected one): open the inbox</t>
        </is>
      </c>
      <c r="D49" s="10" t="inlineStr">
        <is>
          <t>The match is there; the other driver's inbox is empty</t>
        </is>
      </c>
      <c r="E49" s="11" t="n"/>
      <c r="F49" s="11" t="n"/>
    </row>
    <row r="50">
      <c r="A50" s="9" t="inlineStr">
        <is>
          <t>D05</t>
        </is>
      </c>
      <c r="B50" s="10" t="inlineStr">
        <is>
          <t>Main story (passenger, merchant, driver)</t>
        </is>
      </c>
      <c r="C50" s="10" t="inlineStr">
        <is>
          <t>Driver: accept the match</t>
        </is>
      </c>
      <c r="D50" s="10" t="inlineStr">
        <is>
          <t>Exactly one trip is created</t>
        </is>
      </c>
      <c r="E50" s="11" t="n"/>
      <c r="F50" s="11" t="n"/>
    </row>
    <row r="51">
      <c r="A51" s="9" t="inlineStr">
        <is>
          <t>D06</t>
        </is>
      </c>
      <c r="B51" s="10" t="inlineStr">
        <is>
          <t>Main story (passenger, merchant, driver)</t>
        </is>
      </c>
      <c r="C51" s="10" t="inlineStr">
        <is>
          <t>Driver: advance pickup → picked up → in transit (and simulate points)</t>
        </is>
      </c>
      <c r="D51" s="10" t="inlineStr">
        <is>
          <t>Only the next valid action is offered each time</t>
        </is>
      </c>
      <c r="E51" s="11" t="n"/>
      <c r="F51" s="11" t="n"/>
    </row>
    <row r="52">
      <c r="A52" s="9" t="inlineStr">
        <is>
          <t>D07</t>
        </is>
      </c>
      <c r="B52" s="10" t="inlineStr">
        <is>
          <t>Main story (passenger, merchant, driver)</t>
        </is>
      </c>
      <c r="C52" s="10" t="inlineStr">
        <is>
          <t>Passenger and merchant: open their trip</t>
        </is>
      </c>
      <c r="D52" s="10" t="inlineStr">
        <is>
          <t>Both see the same trip and the same latest location; read-only</t>
        </is>
      </c>
      <c r="E52" s="11" t="n"/>
      <c r="F52" s="11" t="n"/>
    </row>
    <row r="53">
      <c r="A53" s="9" t="inlineStr">
        <is>
          <t>D08</t>
        </is>
      </c>
      <c r="B53" s="10" t="inlineStr">
        <is>
          <t>Main story (passenger, merchant, driver)</t>
        </is>
      </c>
      <c r="C53" s="10" t="inlineStr">
        <is>
          <t>Passenger and merchant: bell and Notifications tab</t>
        </is>
      </c>
      <c r="D53" s="10" t="inlineStr">
        <is>
          <t>A "match accepted" and "trip update" entries; tapping one clears its dot; "Mark all as read" works</t>
        </is>
      </c>
      <c r="E53" s="11" t="n"/>
      <c r="F53" s="11" t="n"/>
    </row>
    <row r="54">
      <c r="A54" s="9" t="inlineStr">
        <is>
          <t>D09</t>
        </is>
      </c>
      <c r="B54" s="10" t="inlineStr">
        <is>
          <t>Main story (passenger, merchant, driver)</t>
        </is>
      </c>
      <c r="C54" s="10" t="inlineStr">
        <is>
          <t>Driver: complete the trip</t>
        </is>
      </c>
      <c r="D54" s="10" t="inlineStr">
        <is>
          <t>Trip shows completed on all three phones and in the Admin</t>
        </is>
      </c>
      <c r="E54" s="11" t="n"/>
      <c r="F54" s="11" t="n"/>
    </row>
    <row r="55">
      <c r="A55" s="9" t="inlineStr">
        <is>
          <t>D10</t>
        </is>
      </c>
      <c r="B55" s="10" t="inlineStr">
        <is>
          <t>Main story (passenger, merchant, driver)</t>
        </is>
      </c>
      <c r="C55" s="10" t="inlineStr">
        <is>
          <t>Tracking wording</t>
        </is>
      </c>
      <c r="D55" s="10" t="inlineStr">
        <is>
          <t>Anywhere location appears it is described as simulated, never as live GPS</t>
        </is>
      </c>
      <c r="E55" s="11" t="n"/>
      <c r="F55" s="11" t="n"/>
    </row>
    <row r="56">
      <c r="A56" s="9" t="inlineStr">
        <is>
          <t>E01</t>
        </is>
      </c>
      <c r="B56" s="10" t="inlineStr">
        <is>
          <t>Smaller features</t>
        </is>
      </c>
      <c r="C56" s="10" t="inlineStr">
        <is>
          <t>Driver: Earnings/performance tab</t>
        </is>
      </c>
      <c r="D56" s="10" t="inlineStr">
        <is>
          <t>Completed-trip counts shown; earnings says it is not tracked (no invented amount)</t>
        </is>
      </c>
      <c r="E56" s="11" t="n"/>
      <c r="F56" s="11" t="n"/>
    </row>
    <row r="57">
      <c r="A57" s="9" t="inlineStr">
        <is>
          <t>E02</t>
        </is>
      </c>
      <c r="B57" s="10" t="inlineStr">
        <is>
          <t>Smaller features</t>
        </is>
      </c>
      <c r="C57" s="10" t="inlineStr">
        <is>
          <t>Same tab, acceptance rate</t>
        </is>
      </c>
      <c r="D57" s="10" t="inlineStr">
        <is>
          <t>Under 5 answered offers it says the rate appears after 5; after accepting/rejecting 5 offers it shows a percentage and "x of y"</t>
        </is>
      </c>
      <c r="E57" s="11" t="n"/>
      <c r="F57" s="11" t="n"/>
    </row>
    <row r="58">
      <c r="A58" s="9" t="inlineStr">
        <is>
          <t>E03</t>
        </is>
      </c>
      <c r="B58" s="10" t="inlineStr">
        <is>
          <t>Smaller features</t>
        </is>
      </c>
      <c r="C58" s="10" t="inlineStr">
        <is>
          <t>Driver: reject an offer and accept another (needs fresh offers: reset)</t>
        </is>
      </c>
      <c r="D58" s="10" t="inlineStr">
        <is>
          <t>The numbers in E02 move accordingly</t>
        </is>
      </c>
      <c r="E58" s="11" t="n"/>
      <c r="F58" s="11" t="n"/>
    </row>
    <row r="59">
      <c r="A59" s="9" t="inlineStr">
        <is>
          <t>E04</t>
        </is>
      </c>
      <c r="B59" s="10" t="inlineStr">
        <is>
          <t>Smaller features</t>
        </is>
      </c>
      <c r="C59" s="10" t="inlineStr">
        <is>
          <t>Merchant: Reports tab</t>
        </is>
      </c>
      <c r="D59" s="10" t="inlineStr">
        <is>
          <t>Orders, parcels and deliveries by status; matches the Admin report for that merchant</t>
        </is>
      </c>
      <c r="E59" s="11" t="n"/>
      <c r="F59" s="11" t="n"/>
    </row>
    <row r="60">
      <c r="A60" s="9" t="inlineStr">
        <is>
          <t>E05</t>
        </is>
      </c>
      <c r="B60" s="10" t="inlineStr">
        <is>
          <t>Smaller features</t>
        </is>
      </c>
      <c r="C60" s="10" t="inlineStr">
        <is>
          <t>Passenger on a trip: Report a problem → Delay → write a sentence → Send</t>
        </is>
      </c>
      <c r="D60" s="10" t="inlineStr">
        <is>
          <t>Confirmation; the sheet says it is not an emergency service</t>
        </is>
      </c>
      <c r="E60" s="11" t="n"/>
      <c r="F60" s="11" t="n"/>
    </row>
    <row r="61">
      <c r="A61" s="9" t="inlineStr">
        <is>
          <t>E06</t>
        </is>
      </c>
      <c r="B61" s="10" t="inlineStr">
        <is>
          <t>Smaller features</t>
        </is>
      </c>
      <c r="C61" s="10" t="inlineStr">
        <is>
          <t>Send 11 reports without any being resolved</t>
        </is>
      </c>
      <c r="D61" s="10" t="inlineStr">
        <is>
          <t>The 11th is refused with a message about too many open reports</t>
        </is>
      </c>
      <c r="E61" s="11" t="n"/>
      <c r="F61" s="11" t="n"/>
    </row>
    <row r="62">
      <c r="A62" s="9" t="inlineStr">
        <is>
          <t>E07</t>
        </is>
      </c>
      <c r="B62" s="10" t="inlineStr">
        <is>
          <t>Smaller features</t>
        </is>
      </c>
      <c r="C62" s="10" t="inlineStr">
        <is>
          <t>Admin: Incidents</t>
        </is>
      </c>
      <c r="D62" s="10" t="inlineStr">
        <is>
          <t>The report from E05 is there (see A16); after you resolve it, the passenger gets two new notifications and does not see your internal note</t>
        </is>
      </c>
      <c r="E62" s="11" t="n"/>
      <c r="F62" s="11" t="n"/>
    </row>
    <row r="63">
      <c r="A63" s="9" t="inlineStr">
        <is>
          <t>E08</t>
        </is>
      </c>
      <c r="B63" s="10" t="inlineStr">
        <is>
          <t>Smaller features</t>
        </is>
      </c>
      <c r="C63" s="10" t="inlineStr">
        <is>
          <t>Driver: go online/offline</t>
        </is>
      </c>
      <c r="D63" s="10" t="inlineStr">
        <is>
          <t>The state changes once per tap and survives closing the app</t>
        </is>
      </c>
      <c r="E63" s="11" t="n"/>
      <c r="F63" s="11" t="n"/>
    </row>
    <row r="64">
      <c r="A64" s="9" t="inlineStr">
        <is>
          <t>F01</t>
        </is>
      </c>
      <c r="B64" s="10" t="inlineStr">
        <is>
          <t>Must NOT work (safety)</t>
        </is>
      </c>
      <c r="C64" s="10" t="inlineStr">
        <is>
          <t>Admin site: sign in as a passenger (using a passenger's email and password)</t>
        </is>
      </c>
      <c r="D64" s="10" t="inlineStr">
        <is>
          <t>Refused</t>
        </is>
      </c>
      <c r="E64" s="11" t="n"/>
      <c r="F64" s="11" t="n"/>
    </row>
    <row r="65">
      <c r="A65" s="9" t="inlineStr">
        <is>
          <t>F02</t>
        </is>
      </c>
      <c r="B65" s="10" t="inlineStr">
        <is>
          <t>Must NOT work (safety)</t>
        </is>
      </c>
      <c r="C65" s="10" t="inlineStr">
        <is>
          <t>A pending merchant or driver signs in on the phone</t>
        </is>
      </c>
      <c r="D65" s="10" t="inlineStr">
        <is>
          <t>Refused with a clear message</t>
        </is>
      </c>
      <c r="E65" s="11" t="n"/>
      <c r="F65" s="11" t="n"/>
    </row>
    <row r="66">
      <c r="A66" s="9" t="inlineStr">
        <is>
          <t>F03</t>
        </is>
      </c>
      <c r="B66" s="10" t="inlineStr">
        <is>
          <t>Must NOT work (safety)</t>
        </is>
      </c>
      <c r="C66" s="10" t="inlineStr">
        <is>
          <t>After the Admin rejects a driver with a reason, sign in as that driver</t>
        </is>
      </c>
      <c r="D66" s="10" t="inlineStr">
        <is>
          <t>Refused</t>
        </is>
      </c>
      <c r="E66" s="11" t="n"/>
      <c r="F66" s="11" t="n"/>
    </row>
    <row r="67">
      <c r="A67" s="9" t="inlineStr">
        <is>
          <t>F04</t>
        </is>
      </c>
      <c r="B67" s="10" t="inlineStr">
        <is>
          <t>Must NOT work (safety)</t>
        </is>
      </c>
      <c r="C67" s="10" t="inlineStr">
        <is>
          <t>As a passenger, try to open driver or merchant screens (via the menu only; no URL tricks)</t>
        </is>
      </c>
      <c r="D67" s="10" t="inlineStr">
        <is>
          <t>Not reachable</t>
        </is>
      </c>
      <c r="E67" s="11" t="n"/>
      <c r="F67" s="11" t="n"/>
    </row>
    <row r="68">
      <c r="A68" s="9" t="inlineStr">
        <is>
          <t>F05</t>
        </is>
      </c>
      <c r="B68" s="10" t="inlineStr">
        <is>
          <t>Must NOT work (safety)</t>
        </is>
      </c>
      <c r="C68" s="10" t="inlineStr">
        <is>
          <t>Admin downloads a driver document, then the applicant is approved: can the applicant still upload?</t>
        </is>
      </c>
      <c r="D68" s="10" t="inlineStr">
        <is>
          <t>No: uploading is closed once a decision is made</t>
        </is>
      </c>
      <c r="E68" s="11" t="n"/>
      <c r="F68" s="11" t="n"/>
    </row>
    <row r="69">
      <c r="A69" s="9" t="inlineStr">
        <is>
          <t>F06</t>
        </is>
      </c>
      <c r="B69" s="10" t="inlineStr">
        <is>
          <t>Must NOT work (safety)</t>
        </is>
      </c>
      <c r="C69" s="10" t="inlineStr">
        <is>
          <t>Look through every screen for the words "push notification", "emergency", "live GPS", "payment", "earnings" used as if they work</t>
        </is>
      </c>
      <c r="D69" s="10" t="inlineStr">
        <is>
          <t>None claim a feature that is not built</t>
        </is>
      </c>
      <c r="E69" s="11" t="n"/>
      <c r="F69" s="11" t="n"/>
    </row>
  </sheetData>
  <autoFilter ref="A1:F69"/>
  <conditionalFormatting sqref="E2:E6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  <dataValidations count="1">
    <dataValidation sqref="E2:E69" showDropDown="0" showInputMessage="0" showErrorMessage="1" allowBlank="1" errorTitle="Pick from the list" error="Choose PASS, FAIL or SKIP." type="list">
      <formula1>"PASS,FAIL,SKIP"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2" t="inlineStr">
        <is>
          <t>Area</t>
        </is>
      </c>
      <c r="B1" s="12" t="inlineStr">
        <is>
          <t>Tests</t>
        </is>
      </c>
      <c r="C1" s="12" t="inlineStr">
        <is>
          <t>PASS</t>
        </is>
      </c>
      <c r="D1" s="12" t="inlineStr">
        <is>
          <t>FAIL</t>
        </is>
      </c>
      <c r="E1" s="12" t="inlineStr">
        <is>
          <t>SKIP</t>
        </is>
      </c>
      <c r="F1" s="12" t="inlineStr">
        <is>
          <t>Not done</t>
        </is>
      </c>
    </row>
    <row r="2">
      <c r="A2" s="13" t="inlineStr">
        <is>
          <t>Admin site</t>
        </is>
      </c>
      <c r="B2" s="13">
        <f>COUNTIF(Tests!$A$2:$A$69,"A*")</f>
        <v/>
      </c>
      <c r="C2" s="13">
        <f>COUNTIFS(Tests!$A$2:$A$69,"A*",Tests!$E$2:$E$69,"PASS")</f>
        <v/>
      </c>
      <c r="D2" s="13">
        <f>COUNTIFS(Tests!$A$2:$A$69,"A*",Tests!$E$2:$E$69,"FAIL")</f>
        <v/>
      </c>
      <c r="E2" s="13">
        <f>COUNTIFS(Tests!$A$2:$A$69,"A*",Tests!$E$2:$E$69,"SKIP")</f>
        <v/>
      </c>
      <c r="F2" s="13">
        <f>B2-C2-D2-E2</f>
        <v/>
      </c>
    </row>
    <row r="3">
      <c r="A3" s="13" t="inlineStr">
        <is>
          <t>Phone: signing in</t>
        </is>
      </c>
      <c r="B3" s="13">
        <f>COUNTIF(Tests!$A$2:$A$69,"B*")</f>
        <v/>
      </c>
      <c r="C3" s="13">
        <f>COUNTIFS(Tests!$A$2:$A$69,"B*",Tests!$E$2:$E$69,"PASS")</f>
        <v/>
      </c>
      <c r="D3" s="13">
        <f>COUNTIFS(Tests!$A$2:$A$69,"B*",Tests!$E$2:$E$69,"FAIL")</f>
        <v/>
      </c>
      <c r="E3" s="13">
        <f>COUNTIFS(Tests!$A$2:$A$69,"B*",Tests!$E$2:$E$69,"SKIP")</f>
        <v/>
      </c>
      <c r="F3" s="13">
        <f>B3-C3-D3-E3</f>
        <v/>
      </c>
    </row>
    <row r="4">
      <c r="A4" s="13" t="inlineStr">
        <is>
          <t>Phone: sign-up with invitation</t>
        </is>
      </c>
      <c r="B4" s="13">
        <f>COUNTIF(Tests!$A$2:$A$69,"C*")</f>
        <v/>
      </c>
      <c r="C4" s="13">
        <f>COUNTIFS(Tests!$A$2:$A$69,"C*",Tests!$E$2:$E$69,"PASS")</f>
        <v/>
      </c>
      <c r="D4" s="13">
        <f>COUNTIFS(Tests!$A$2:$A$69,"C*",Tests!$E$2:$E$69,"FAIL")</f>
        <v/>
      </c>
      <c r="E4" s="13">
        <f>COUNTIFS(Tests!$A$2:$A$69,"C*",Tests!$E$2:$E$69,"SKIP")</f>
        <v/>
      </c>
      <c r="F4" s="13">
        <f>B4-C4-D4-E4</f>
        <v/>
      </c>
    </row>
    <row r="5">
      <c r="A5" s="13" t="inlineStr">
        <is>
          <t>Main story (passenger, merchant, driver)</t>
        </is>
      </c>
      <c r="B5" s="13">
        <f>COUNTIF(Tests!$A$2:$A$69,"D*")</f>
        <v/>
      </c>
      <c r="C5" s="13">
        <f>COUNTIFS(Tests!$A$2:$A$69,"D*",Tests!$E$2:$E$69,"PASS")</f>
        <v/>
      </c>
      <c r="D5" s="13">
        <f>COUNTIFS(Tests!$A$2:$A$69,"D*",Tests!$E$2:$E$69,"FAIL")</f>
        <v/>
      </c>
      <c r="E5" s="13">
        <f>COUNTIFS(Tests!$A$2:$A$69,"D*",Tests!$E$2:$E$69,"SKIP")</f>
        <v/>
      </c>
      <c r="F5" s="13">
        <f>B5-C5-D5-E5</f>
        <v/>
      </c>
    </row>
    <row r="6">
      <c r="A6" s="13" t="inlineStr">
        <is>
          <t>Smaller features</t>
        </is>
      </c>
      <c r="B6" s="13">
        <f>COUNTIF(Tests!$A$2:$A$69,"E*")</f>
        <v/>
      </c>
      <c r="C6" s="13">
        <f>COUNTIFS(Tests!$A$2:$A$69,"E*",Tests!$E$2:$E$69,"PASS")</f>
        <v/>
      </c>
      <c r="D6" s="13">
        <f>COUNTIFS(Tests!$A$2:$A$69,"E*",Tests!$E$2:$E$69,"FAIL")</f>
        <v/>
      </c>
      <c r="E6" s="13">
        <f>COUNTIFS(Tests!$A$2:$A$69,"E*",Tests!$E$2:$E$69,"SKIP")</f>
        <v/>
      </c>
      <c r="F6" s="13">
        <f>B6-C6-D6-E6</f>
        <v/>
      </c>
    </row>
    <row r="7">
      <c r="A7" s="13" t="inlineStr">
        <is>
          <t>Must NOT work (safety)</t>
        </is>
      </c>
      <c r="B7" s="13">
        <f>COUNTIF(Tests!$A$2:$A$69,"F*")</f>
        <v/>
      </c>
      <c r="C7" s="13">
        <f>COUNTIFS(Tests!$A$2:$A$69,"F*",Tests!$E$2:$E$69,"PASS")</f>
        <v/>
      </c>
      <c r="D7" s="13">
        <f>COUNTIFS(Tests!$A$2:$A$69,"F*",Tests!$E$2:$E$69,"FAIL")</f>
        <v/>
      </c>
      <c r="E7" s="13">
        <f>COUNTIFS(Tests!$A$2:$A$69,"F*",Tests!$E$2:$E$69,"SKIP")</f>
        <v/>
      </c>
      <c r="F7" s="13">
        <f>B7-C7-D7-E7</f>
        <v/>
      </c>
    </row>
    <row r="8">
      <c r="A8" s="14" t="inlineStr">
        <is>
          <t>Total</t>
        </is>
      </c>
      <c r="B8" s="14">
        <f>SUM(B2:B7)</f>
        <v/>
      </c>
      <c r="C8" s="14">
        <f>SUM(C2:C7)</f>
        <v/>
      </c>
      <c r="D8" s="14">
        <f>SUM(D2:D7)</f>
        <v/>
      </c>
      <c r="E8" s="14">
        <f>SUM(E2:E7)</f>
        <v/>
      </c>
      <c r="F8" s="14">
        <f>SUM(F2:F7)</f>
        <v/>
      </c>
    </row>
    <row r="10">
      <c r="A10" s="15" t="inlineStr">
        <is>
          <t>The counts update by themselves as you fill in the Tests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2026-10-28T20:19:14Z</dcterms:created>
  <dcterms:modified xsi:type="dcterms:W3CDTF">2026-10-28T20:19:14Z</dcterms:modified>
</cp:coreProperties>
</file>