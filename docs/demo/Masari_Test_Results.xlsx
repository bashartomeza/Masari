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sults" sheetId="2" state="visible" r:id="rId2"/>
  </sheets>
  <definedNames>
    <definedName name="_xlnm._FilterDatabase" localSheetId="1" hidden="1">'Results'!$A$1:$F$130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color rgb="00FFFFFF"/>
      <sz val="10"/>
    </font>
    <font>
      <name val="Arial"/>
      <sz val="10"/>
    </font>
    <font>
      <name val="Arial"/>
      <b val="1"/>
      <sz val="10"/>
    </font>
  </fonts>
  <fills count="3">
    <fill>
      <patternFill/>
    </fill>
    <fill>
      <patternFill patternType="gray125"/>
    </fill>
    <fill>
      <patternFill patternType="solid">
        <fgColor rgb="001F3A2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2" borderId="1" pivotButton="0" quotePrefix="0" xfId="0"/>
    <xf numFmtId="0" fontId="3" fillId="0" borderId="1" pivotButton="0" quotePrefix="0" xfId="0"/>
    <xf numFmtId="0" fontId="4" fillId="0" borderId="1" pivotButton="0" quotePrefix="0" xfId="0"/>
    <xf numFmtId="0" fontId="2" fillId="2" borderId="0" pivotButton="0" quotePrefix="0" xfId="0"/>
    <xf numFmtId="0" fontId="0" fillId="2"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3">
    <dxf>
      <font>
        <name val="Arial"/>
        <b val="1"/>
        <color rgb="00006100"/>
      </font>
      <fill>
        <patternFill patternType="solid">
          <fgColor rgb="00C6EFCE"/>
          <bgColor rgb="00C6EFCE"/>
        </patternFill>
      </fill>
    </dxf>
    <dxf>
      <font>
        <name val="Arial"/>
        <b val="1"/>
        <color rgb="009C0006"/>
      </font>
      <fill>
        <patternFill patternType="solid">
          <fgColor rgb="00FFC7CE"/>
          <bgColor rgb="00FFC7CE"/>
        </patternFill>
      </fill>
    </dxf>
    <dxf>
      <font>
        <name val="Arial"/>
        <b val="1"/>
        <color rgb="00595959"/>
      </font>
      <fill>
        <patternFill patternType="solid">
          <fgColor rgb="00E7E6E6"/>
          <b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44" customWidth="1" min="1" max="1"/>
    <col width="10" customWidth="1" min="2" max="2"/>
    <col width="10" customWidth="1" min="3" max="3"/>
    <col width="10" customWidth="1" min="4" max="4"/>
    <col width="10" customWidth="1" min="5" max="5"/>
    <col width="12" customWidth="1" min="6" max="6"/>
  </cols>
  <sheetData>
    <row r="1">
      <c r="A1" s="1" t="inlineStr">
        <is>
          <t>Masari test results - 28 Oct 2026, extended 29 Oct 2026 (run by Claude, not by you)</t>
        </is>
      </c>
    </row>
    <row r="3">
      <c r="A3" s="2" t="inlineStr">
        <is>
          <t>Area</t>
        </is>
      </c>
      <c r="B3" s="2" t="inlineStr">
        <is>
          <t>Tests</t>
        </is>
      </c>
      <c r="C3" s="2" t="inlineStr">
        <is>
          <t>PASS</t>
        </is>
      </c>
      <c r="D3" s="2" t="inlineStr">
        <is>
          <t>FAIL</t>
        </is>
      </c>
      <c r="E3" s="2" t="inlineStr">
        <is>
          <t>SKIP</t>
        </is>
      </c>
      <c r="F3" s="2" t="inlineStr">
        <is>
          <t>Not done</t>
        </is>
      </c>
    </row>
    <row r="4">
      <c r="A4" s="3" t="inlineStr">
        <is>
          <t>Admin site</t>
        </is>
      </c>
      <c r="B4" s="3">
        <f>COUNTIF(Results!$A$2:$A$130,"A*")</f>
        <v/>
      </c>
      <c r="C4" s="3">
        <f>COUNTIFS(Results!$A$2:$A$130,"A*",Results!$E$2:$E$130,"PASS")</f>
        <v/>
      </c>
      <c r="D4" s="3">
        <f>COUNTIFS(Results!$A$2:$A$130,"A*",Results!$E$2:$E$130,"FAIL")</f>
        <v/>
      </c>
      <c r="E4" s="3">
        <f>COUNTIFS(Results!$A$2:$A$130,"A*",Results!$E$2:$E$130,"SKIP")</f>
        <v/>
      </c>
      <c r="F4" s="3">
        <f>B4-C4-D4-E4</f>
        <v/>
      </c>
    </row>
    <row r="5">
      <c r="A5" s="3" t="inlineStr">
        <is>
          <t>Phone: signing in</t>
        </is>
      </c>
      <c r="B5" s="3">
        <f>COUNTIF(Results!$A$2:$A$130,"B*")</f>
        <v/>
      </c>
      <c r="C5" s="3">
        <f>COUNTIFS(Results!$A$2:$A$130,"B*",Results!$E$2:$E$130,"PASS")</f>
        <v/>
      </c>
      <c r="D5" s="3">
        <f>COUNTIFS(Results!$A$2:$A$130,"B*",Results!$E$2:$E$130,"FAIL")</f>
        <v/>
      </c>
      <c r="E5" s="3">
        <f>COUNTIFS(Results!$A$2:$A$130,"B*",Results!$E$2:$E$130,"SKIP")</f>
        <v/>
      </c>
      <c r="F5" s="3">
        <f>B5-C5-D5-E5</f>
        <v/>
      </c>
    </row>
    <row r="6">
      <c r="A6" s="3" t="inlineStr">
        <is>
          <t>Phone: sign-up (invitation or open)</t>
        </is>
      </c>
      <c r="B6" s="3">
        <f>COUNTIF(Results!$A$2:$A$130,"C*")</f>
        <v/>
      </c>
      <c r="C6" s="3">
        <f>COUNTIFS(Results!$A$2:$A$130,"C*",Results!$E$2:$E$130,"PASS")</f>
        <v/>
      </c>
      <c r="D6" s="3">
        <f>COUNTIFS(Results!$A$2:$A$130,"C*",Results!$E$2:$E$130,"FAIL")</f>
        <v/>
      </c>
      <c r="E6" s="3">
        <f>COUNTIFS(Results!$A$2:$A$130,"C*",Results!$E$2:$E$130,"SKIP")</f>
        <v/>
      </c>
      <c r="F6" s="3">
        <f>B6-C6-D6-E6</f>
        <v/>
      </c>
    </row>
    <row r="7">
      <c r="A7" s="3" t="inlineStr">
        <is>
          <t>Main story (passenger, merchant, driver)</t>
        </is>
      </c>
      <c r="B7" s="3">
        <f>COUNTIF(Results!$A$2:$A$130,"D*")</f>
        <v/>
      </c>
      <c r="C7" s="3">
        <f>COUNTIFS(Results!$A$2:$A$130,"D*",Results!$E$2:$E$130,"PASS")</f>
        <v/>
      </c>
      <c r="D7" s="3">
        <f>COUNTIFS(Results!$A$2:$A$130,"D*",Results!$E$2:$E$130,"FAIL")</f>
        <v/>
      </c>
      <c r="E7" s="3">
        <f>COUNTIFS(Results!$A$2:$A$130,"D*",Results!$E$2:$E$130,"SKIP")</f>
        <v/>
      </c>
      <c r="F7" s="3">
        <f>B7-C7-D7-E7</f>
        <v/>
      </c>
    </row>
    <row r="8">
      <c r="A8" s="3" t="inlineStr">
        <is>
          <t>Smaller features</t>
        </is>
      </c>
      <c r="B8" s="3">
        <f>COUNTIF(Results!$A$2:$A$130,"E*")</f>
        <v/>
      </c>
      <c r="C8" s="3">
        <f>COUNTIFS(Results!$A$2:$A$130,"E*",Results!$E$2:$E$130,"PASS")</f>
        <v/>
      </c>
      <c r="D8" s="3">
        <f>COUNTIFS(Results!$A$2:$A$130,"E*",Results!$E$2:$E$130,"FAIL")</f>
        <v/>
      </c>
      <c r="E8" s="3">
        <f>COUNTIFS(Results!$A$2:$A$130,"E*",Results!$E$2:$E$130,"SKIP")</f>
        <v/>
      </c>
      <c r="F8" s="3">
        <f>B8-C8-D8-E8</f>
        <v/>
      </c>
    </row>
    <row r="9">
      <c r="A9" s="3" t="inlineStr">
        <is>
          <t>Must NOT work (safety)</t>
        </is>
      </c>
      <c r="B9" s="3">
        <f>COUNTIF(Results!$A$2:$A$130,"F*")</f>
        <v/>
      </c>
      <c r="C9" s="3">
        <f>COUNTIFS(Results!$A$2:$A$130,"F*",Results!$E$2:$E$130,"PASS")</f>
        <v/>
      </c>
      <c r="D9" s="3">
        <f>COUNTIFS(Results!$A$2:$A$130,"F*",Results!$E$2:$E$130,"FAIL")</f>
        <v/>
      </c>
      <c r="E9" s="3">
        <f>COUNTIFS(Results!$A$2:$A$130,"F*",Results!$E$2:$E$130,"SKIP")</f>
        <v/>
      </c>
      <c r="F9" s="3">
        <f>B9-C9-D9-E9</f>
        <v/>
      </c>
    </row>
    <row r="10">
      <c r="A10" s="4" t="inlineStr">
        <is>
          <t>Total</t>
        </is>
      </c>
      <c r="B10" s="4">
        <f>SUM(B4:B9)</f>
        <v/>
      </c>
      <c r="C10" s="4">
        <f>SUM(C4:C9)</f>
        <v/>
      </c>
      <c r="D10" s="4">
        <f>SUM(D4:D9)</f>
        <v/>
      </c>
      <c r="E10" s="4">
        <f>SUM(E4:E9)</f>
        <v/>
      </c>
      <c r="F10" s="4">
        <f>SUM(F4:F9)</f>
        <v/>
      </c>
    </row>
    <row r="12">
      <c r="A12" s="5" t="inlineStr">
        <is>
          <t>HOW IT WAS TESTED</t>
        </is>
      </c>
      <c r="B12" s="6" t="n"/>
      <c r="C12" s="6" t="n"/>
      <c r="D12" s="6" t="n"/>
      <c r="E12" s="6" t="n"/>
      <c r="F12" s="6" t="n"/>
    </row>
    <row r="13" ht="105" customHeight="1">
      <c r="A13" s="7" t="inlineStr">
        <is>
          <t>Automated API suite</t>
        </is>
      </c>
      <c r="B13" s="8" t="inlineStr">
        <is>
          <t>71 of 71 checks passed on 29 Oct (the 30 older ones plus the new-feature checks: six-digit email codes, open sign-up and Send for review, route fares, passenger parcels, bulk orders, AI assistant, delivery handover code, ratings and trust score, approaching alert, document expiry and renewal, success metrics and the simulated comparison).</t>
        </is>
      </c>
    </row>
    <row r="14" ht="45" customHeight="1">
      <c r="A14" s="7" t="inlineStr">
        <is>
          <t>Admin site in a real browser</t>
        </is>
      </c>
      <c r="B14" s="8" t="inlineStr">
        <is>
          <t>22 of 22 checks passed (sign-in, language switch, all 11 pages, search, driver review, evidence form, CSV exports, sign-out, phone width).</t>
        </is>
      </c>
    </row>
    <row r="15" ht="75" customHeight="1">
      <c r="A15" s="7" t="inlineStr">
        <is>
          <t>Android emulator, by hand-driven script</t>
        </is>
      </c>
      <c r="B15" s="8" t="inlineStr">
        <is>
          <t>Sign-in for every role, all three invited sign-ups, document upload through the file picker, the full trip from accept to completed, notifications, report a problem, offline message, Arabic home, restart, online/offline switch.</t>
        </is>
      </c>
    </row>
    <row r="16" ht="60" customHeight="1">
      <c r="A16" s="7" t="inlineStr">
        <is>
          <t>Unit tests</t>
        </is>
      </c>
      <c r="B16" s="8" t="inlineStr">
        <is>
          <t>API 1155 and repository tooling 84 (2 skipped) all passing on 29 Oct; the Admin site and app tests were not re-run in this pass (those apps were not changed).</t>
        </is>
      </c>
    </row>
    <row r="17" ht="75" customHeight="1">
      <c r="A17" s="7" t="inlineStr">
        <is>
          <t>New-feature pass, 29 Oct</t>
        </is>
      </c>
      <c r="B17" s="8" t="inlineStr">
        <is>
          <t>Every new row (A20-A21, C31-C39, E14-E42, F08-F10) was checked through the live demo API only. The screens for these features were not driven on the emulator or in the browser, and rows left blank (C19-C29, E09-E13, F07) were not re-run in this pass.</t>
        </is>
      </c>
    </row>
    <row r="18" ht="60" customHeight="1">
      <c r="A18" s="7" t="inlineStr">
        <is>
          <t>Re-test after the registration change</t>
        </is>
      </c>
      <c r="B18" s="8" t="inlineStr">
        <is>
          <t>Only the sign-up rows (C01, C03, C13, C16, C17, C18) and the Arabic sign-up screens were re-run on the emulator. The other emulator rows are from the 28 Oct run, before the change.</t>
        </is>
      </c>
    </row>
    <row r="20">
      <c r="A20" s="5" t="inlineStr">
        <is>
          <t>PROBLEMS FOUND AND FIXED</t>
        </is>
      </c>
      <c r="B20" s="6" t="n"/>
      <c r="C20" s="6" t="n"/>
      <c r="D20" s="6" t="n"/>
      <c r="E20" s="6" t="n"/>
      <c r="F20" s="6" t="n"/>
    </row>
    <row r="21" ht="75" customHeight="1">
      <c r="A21" s="7" t="inlineStr">
        <is>
          <t>1. New accounts could never sign in</t>
        </is>
      </c>
      <c r="B21" s="8" t="inlineStr">
        <is>
          <t>Accounts created from an invitation have a phone number but no email, and sign-in only took an email. Now a verified phone number works (never for Admin accounts). Fixed in the API and the app's sign-in field.</t>
        </is>
      </c>
    </row>
    <row r="22" ht="45" customHeight="1">
      <c r="A22" s="7" t="inlineStr">
        <is>
          <t>2. The trip map was blank (grey) until touched</t>
        </is>
      </c>
      <c r="B22" s="8" t="inlineStr">
        <is>
          <t>Probably the map problem you noticed. The map never requested its tiles for the route view. Fixed; verified with a request log.</t>
        </is>
      </c>
    </row>
    <row r="23" ht="75" customHeight="1">
      <c r="A23" s="7" t="inlineStr">
        <is>
          <t>3. Sign-up changed</t>
        </is>
      </c>
      <c r="B23" s="8" t="inlineStr">
        <is>
          <t>Create account now asks Normal user / Driver / Shop owner first. Shop owners upload their papers; every pending screen says review takes up to 24 hours. A passenger no longer signs up with an invitation code in the app.</t>
        </is>
      </c>
    </row>
    <row r="24" ht="60" customHeight="1">
      <c r="A24" s="7" t="inlineStr">
        <is>
          <t>4. Small polish</t>
        </is>
      </c>
      <c r="B24" s="8" t="inlineStr">
        <is>
          <t>Arabic words on the English trip screen translated; zoom buttons no longer sit under the top buttons; the Admin site's missing browser icon added; the demo reset-key box now holds the real key.</t>
        </is>
      </c>
    </row>
    <row r="25" ht="90" customHeight="1">
      <c r="A25" s="7" t="inlineStr">
        <is>
          <t>5. Demo reset failed after route fares were set (29 Oct)</t>
        </is>
      </c>
      <c r="B25" s="8" t="inlineStr">
        <is>
          <t>The reset of the demo data did not clear the fare history, so it answered 500 once an Admin had set a route fare. Fixed in the API (with a test); the test environment now also turns on the route switches and marks the automated sign-up phone numbers as demo data.</t>
        </is>
      </c>
    </row>
    <row r="27">
      <c r="A27" s="5" t="inlineStr">
        <is>
          <t>NOT TESTED BY ME</t>
        </is>
      </c>
      <c r="B27" s="6" t="n"/>
      <c r="C27" s="6" t="n"/>
      <c r="D27" s="6" t="n"/>
      <c r="E27" s="6" t="n"/>
      <c r="F27" s="6" t="n"/>
    </row>
    <row r="28" ht="195" customHeight="1">
      <c r="A28" s="7" t="inlineStr"/>
      <c r="B28" s="8" t="inlineStr">
        <is>
          <t>A real phone (only the emulator); real SMS and real email delivery (codes are read from files); the new-feature screens on the emulator and in the browser (only their API was checked); Arabic on every screen (checked sign-in, the role chooser, the invitation and pending screens, and the three role homes; no stray English found apart from names and the demo consent text); the percentage display of the acceptance rate; simulated tracking steps on the phone; opening the CSV files in Excel; clicking Admin triage, Download and the shop-owner Approve card in the browser; a normal user's sign-up with a real email and a real SMS; anything on a real server or real SMS.</t>
        </is>
      </c>
    </row>
  </sheetData>
  <mergeCells count="12">
    <mergeCell ref="B21:F21"/>
    <mergeCell ref="B24:F24"/>
    <mergeCell ref="B16:F16"/>
    <mergeCell ref="B15:F15"/>
    <mergeCell ref="B25:F25"/>
    <mergeCell ref="B28:F28"/>
    <mergeCell ref="B23:F23"/>
    <mergeCell ref="B22:F22"/>
    <mergeCell ref="B14:F14"/>
    <mergeCell ref="B17:F17"/>
    <mergeCell ref="B18:F18"/>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52" customWidth="1" min="3" max="3"/>
    <col width="46" customWidth="1" min="4" max="4"/>
    <col width="9" customWidth="1" min="5" max="5"/>
    <col width="62" customWidth="1" min="6" max="6"/>
  </cols>
  <sheetData>
    <row r="1">
      <c r="A1" s="2" t="inlineStr">
        <is>
          <t>ID</t>
        </is>
      </c>
      <c r="B1" s="2" t="inlineStr">
        <is>
          <t>Area</t>
        </is>
      </c>
      <c r="C1" s="2" t="inlineStr">
        <is>
          <t>What to do</t>
        </is>
      </c>
      <c r="D1" s="2" t="inlineStr">
        <is>
          <t>What you should see</t>
        </is>
      </c>
      <c r="E1" s="2" t="inlineStr">
        <is>
          <t>Result</t>
        </is>
      </c>
      <c r="F1" s="2" t="inlineStr">
        <is>
          <t>Evidence / notes</t>
        </is>
      </c>
    </row>
    <row r="2">
      <c r="A2" s="9" t="inlineStr">
        <is>
          <t>A01</t>
        </is>
      </c>
      <c r="B2" s="10" t="inlineStr">
        <is>
          <t>Admin site</t>
        </is>
      </c>
      <c r="C2" s="10" t="inlineStr">
        <is>
          <t>Open the site, sign in as the Admin</t>
        </is>
      </c>
      <c r="D2" s="10" t="inlineStr">
        <is>
          <t>Overview opens; your name shows in the header</t>
        </is>
      </c>
      <c r="E2" s="9" t="inlineStr">
        <is>
          <t>PASS</t>
        </is>
      </c>
      <c r="F2" s="10" t="inlineStr">
        <is>
          <t>Browser: signs in and lands on the overview.</t>
        </is>
      </c>
    </row>
    <row r="3">
      <c r="A3" s="9" t="inlineStr">
        <is>
          <t>A02</t>
        </is>
      </c>
      <c r="B3" s="10" t="inlineStr">
        <is>
          <t>Admin site</t>
        </is>
      </c>
      <c r="C3" s="10" t="inlineStr">
        <is>
          <t>Sign in with a wrong password</t>
        </is>
      </c>
      <c r="D3" s="10" t="inlineStr">
        <is>
          <t>A clear error; you stay on the sign-in screen</t>
        </is>
      </c>
      <c r="E3" s="9" t="inlineStr">
        <is>
          <t>PASS</t>
        </is>
      </c>
      <c r="F3" s="10" t="inlineStr">
        <is>
          <t>Browser: a wrong password shows a clear error and stays on sign-in.</t>
        </is>
      </c>
    </row>
    <row r="4">
      <c r="A4" s="9" t="inlineStr">
        <is>
          <t>A03</t>
        </is>
      </c>
      <c r="B4" s="10" t="inlineStr">
        <is>
          <t>Admin site</t>
        </is>
      </c>
      <c r="C4" s="10" t="inlineStr">
        <is>
          <t>Switch Arabic ⇄ English</t>
        </is>
      </c>
      <c r="D4" s="10" t="inlineStr">
        <is>
          <t>Whole page flips language and direction (right-to-left in Arabic); nothing overlaps or is cut off</t>
        </is>
      </c>
      <c r="E4" s="9" t="inlineStr">
        <is>
          <t>PASS</t>
        </is>
      </c>
      <c r="F4" s="10" t="inlineStr">
        <is>
          <t>Browser: Arabic &lt;-&gt; English flips direction and text, and flips back.</t>
        </is>
      </c>
    </row>
    <row r="5">
      <c r="A5" s="9" t="inlineStr">
        <is>
          <t>A04</t>
        </is>
      </c>
      <c r="B5" s="10" t="inlineStr">
        <is>
          <t>Admin site</t>
        </is>
      </c>
      <c r="C5" s="10" t="inlineStr">
        <is>
          <t>Open every item in the left menu, one by one</t>
        </is>
      </c>
      <c r="D5" s="10" t="inlineStr">
        <is>
          <t>Each page opens without a crash. Pages that are not built say so plainly (no fake numbers)</t>
        </is>
      </c>
      <c r="E5" s="9" t="inlineStr">
        <is>
          <t>PASS</t>
        </is>
      </c>
      <c r="F5" s="10" t="inlineStr">
        <is>
          <t>Browser: all 11 pages open with no crash and no failed request.</t>
        </is>
      </c>
    </row>
    <row r="6">
      <c r="A6" s="9" t="inlineStr">
        <is>
          <t>A05</t>
        </is>
      </c>
      <c r="B6" s="10" t="inlineStr">
        <is>
          <t>Admin site</t>
        </is>
      </c>
      <c r="C6" s="10" t="inlineStr">
        <is>
          <t>Overview cards</t>
        </is>
      </c>
      <c r="D6" s="10" t="inlineStr">
        <is>
          <t>Active drivers, Pending approvals (1 right after a reset: the pending demo driver) and Incidents show numbers, not errors</t>
        </is>
      </c>
      <c r="E6" s="9" t="inlineStr">
        <is>
          <t>PASS</t>
        </is>
      </c>
      <c r="F6" s="10" t="inlineStr">
        <is>
          <t>Browser: Active drivers, Pending approvals and Incidents cards show real numbers.</t>
        </is>
      </c>
    </row>
    <row r="7">
      <c r="A7" s="9" t="inlineStr">
        <is>
          <t>A06</t>
        </is>
      </c>
      <c r="B7" s="10" t="inlineStr">
        <is>
          <t>Admin site</t>
        </is>
      </c>
      <c r="C7" s="10" t="inlineStr">
        <is>
          <t>Users: search by name, filter by role and status</t>
        </is>
      </c>
      <c r="D7" s="10" t="inlineStr">
        <is>
          <t>Lists narrow correctly; the pending/rejected demo accounts are findable</t>
        </is>
      </c>
      <c r="E7" s="9" t="inlineStr">
        <is>
          <t>PASS</t>
        </is>
      </c>
      <c r="F7" s="10" t="inlineStr">
        <is>
          <t>Browser: search narrows the user list.</t>
        </is>
      </c>
    </row>
    <row r="8">
      <c r="A8" s="9" t="inlineStr">
        <is>
          <t>A07</t>
        </is>
      </c>
      <c r="B8" s="10" t="inlineStr">
        <is>
          <t>Admin site</t>
        </is>
      </c>
      <c r="C8" s="10" t="inlineStr">
        <is>
          <t>Users: open a user</t>
        </is>
      </c>
      <c r="D8" s="10" t="inlineStr">
        <is>
          <t>Detail shows role, status and no passwords or tokens</t>
        </is>
      </c>
      <c r="E8" s="9" t="inlineStr">
        <is>
          <t>PASS</t>
        </is>
      </c>
      <c r="F8" s="10" t="inlineStr">
        <is>
          <t>API: user detail contains no password, token or security fields.</t>
        </is>
      </c>
    </row>
    <row r="9">
      <c r="A9" s="9" t="inlineStr">
        <is>
          <t>A08</t>
        </is>
      </c>
      <c r="B9" s="10" t="inlineStr">
        <is>
          <t>Admin site</t>
        </is>
      </c>
      <c r="C9" s="10" t="inlineStr">
        <is>
          <t>Users: suspend a demo passenger with a reason, then reactivate</t>
        </is>
      </c>
      <c r="D9" s="10" t="inlineStr">
        <is>
          <t>Status changes and shows in the list; the reason is required for suspend</t>
        </is>
      </c>
      <c r="E9" s="9" t="inlineStr">
        <is>
          <t>PASS</t>
        </is>
      </c>
      <c r="F9" s="10" t="inlineStr">
        <is>
          <t>API (not clicked in the browser): suspend needs a reason, blocks sign-in; reactivate restores it.</t>
        </is>
      </c>
    </row>
    <row r="10">
      <c r="A10" s="9" t="inlineStr">
        <is>
          <t>A09</t>
        </is>
      </c>
      <c r="B10" s="10" t="inlineStr">
        <is>
          <t>Admin site</t>
        </is>
      </c>
      <c r="C10" s="10" t="inlineStr">
        <is>
          <t>Merchant approval: Users → filter Pending → Demo Pending Merchant → Approve</t>
        </is>
      </c>
      <c r="D10" s="10" t="inlineStr">
        <is>
          <t>Account becomes active. (Then sign that merchant in on the phone: it works)</t>
        </is>
      </c>
      <c r="E10" s="9" t="inlineStr">
        <is>
          <t>PASS</t>
        </is>
      </c>
      <c r="F10" s="10" t="inlineStr">
        <is>
          <t>API: approval works once, second approval refused (409); that merchant then signed in on the phone.</t>
        </is>
      </c>
    </row>
    <row r="11">
      <c r="A11" s="9" t="inlineStr">
        <is>
          <t>A10</t>
        </is>
      </c>
      <c r="B11" s="10" t="inlineStr">
        <is>
          <t>Admin site</t>
        </is>
      </c>
      <c r="C11" s="10" t="inlineStr">
        <is>
          <t>Reject a different pending merchant (use reset first if none left) with no reason, then with a reason</t>
        </is>
      </c>
      <c r="D11" s="10" t="inlineStr">
        <is>
          <t>Without a reason it refuses; with one the account is disabled</t>
        </is>
      </c>
      <c r="E11" s="9" t="inlineStr">
        <is>
          <t>PASS</t>
        </is>
      </c>
      <c r="F11" s="10" t="inlineStr">
        <is>
          <t>API: reject without a reason refused; with a reason the account is disabled and cannot sign in.</t>
        </is>
      </c>
    </row>
    <row r="12">
      <c r="A12" s="9" t="inlineStr">
        <is>
          <t>A11</t>
        </is>
      </c>
      <c r="B12" s="10" t="inlineStr">
        <is>
          <t>Admin site</t>
        </is>
      </c>
      <c r="C12" s="10" t="inlineStr">
        <is>
          <t>Drivers &amp; verification → Pending → Demo Pending Driver</t>
        </is>
      </c>
      <c r="D12" s="10" t="inlineStr">
        <is>
          <t>Review panel opens with profile, vehicle section and a decision area</t>
        </is>
      </c>
      <c r="E12" s="9" t="inlineStr">
        <is>
          <t>PASS</t>
        </is>
      </c>
      <c r="F12" s="10" t="inlineStr">
        <is>
          <t>Browser: the pending driver's review panel opens with the decision buttons and the evidence form.</t>
        </is>
      </c>
    </row>
    <row r="13">
      <c r="A13" s="9" t="inlineStr">
        <is>
          <t>A12</t>
        </is>
      </c>
      <c r="B13" s="10" t="inlineStr">
        <is>
          <t>Admin site</t>
        </is>
      </c>
      <c r="C13" s="10" t="inlineStr">
        <is>
          <t>In that review, record evidence: choose "Driver licence", add a short note, Record sighting</t>
        </is>
      </c>
      <c r="D13" s="10" t="inlineStr">
        <is>
          <t>It appears in the list with your name and time; the status text changes from "not collected"</t>
        </is>
      </c>
      <c r="E13" s="9" t="inlineStr">
        <is>
          <t>PASS</t>
        </is>
      </c>
      <c r="F13" s="10" t="inlineStr">
        <is>
          <t>Browser and API: a recorded sighting appears with the right kind.</t>
        </is>
      </c>
    </row>
    <row r="14">
      <c r="A14" s="9" t="inlineStr">
        <is>
          <t>A13</t>
        </is>
      </c>
      <c r="B14" s="10" t="inlineStr">
        <is>
          <t>Admin site</t>
        </is>
      </c>
      <c r="C14" s="10" t="inlineStr">
        <is>
          <t>Approve the pending driver (enter a vehicle type, seats, parcel capacity)</t>
        </is>
      </c>
      <c r="D14" s="10" t="inlineStr">
        <is>
          <t>Status Approved; history shows the decision</t>
        </is>
      </c>
      <c r="E14" s="9" t="inlineStr">
        <is>
          <t>PASS</t>
        </is>
      </c>
      <c r="F14" s="10" t="inlineStr">
        <is>
          <t>API: approval needs a vehicle profile, then succeeds; the driver then signed in on the phone.</t>
        </is>
      </c>
    </row>
    <row r="15">
      <c r="A15" s="9" t="inlineStr">
        <is>
          <t>A14</t>
        </is>
      </c>
      <c r="B15" s="10" t="inlineStr">
        <is>
          <t>Admin site</t>
        </is>
      </c>
      <c r="C15" s="10" t="inlineStr">
        <is>
          <t>Drivers → Rejected → Demo Rejected Driver → Reopen for review (give a reason)</t>
        </is>
      </c>
      <c r="D15" s="10" t="inlineStr">
        <is>
          <t>It returns to Pending; history keeps the earlier rejection and shows "Reopened"</t>
        </is>
      </c>
      <c r="E15" s="9" t="inlineStr">
        <is>
          <t>PASS</t>
        </is>
      </c>
      <c r="F15" s="10" t="inlineStr">
        <is>
          <t>API: reopen needs a reason; the application returns to pending and history keeps the rejection.</t>
        </is>
      </c>
    </row>
    <row r="16">
      <c r="A16" s="9" t="inlineStr">
        <is>
          <t>A15</t>
        </is>
      </c>
      <c r="B16" s="10" t="inlineStr">
        <is>
          <t>Admin site</t>
        </is>
      </c>
      <c r="C16" s="10" t="inlineStr">
        <is>
          <t>Reject a pending driver without a reason</t>
        </is>
      </c>
      <c r="D16" s="10" t="inlineStr">
        <is>
          <t>It refuses; with a reason it works</t>
        </is>
      </c>
      <c r="E16" s="9" t="inlineStr">
        <is>
          <t>PASS</t>
        </is>
      </c>
      <c r="F16" s="10" t="inlineStr">
        <is>
          <t>API: reject needs a reason; a rejected applicant cannot sign in or upload.</t>
        </is>
      </c>
    </row>
    <row r="17">
      <c r="A17" s="9" t="inlineStr">
        <is>
          <t>A16</t>
        </is>
      </c>
      <c r="B17" s="10" t="inlineStr">
        <is>
          <t>Admin site</t>
        </is>
      </c>
      <c r="C17" s="10" t="inlineStr">
        <is>
          <t>Incidents (after a phone report, see E07)</t>
        </is>
      </c>
      <c r="D17" s="10" t="inlineStr">
        <is>
          <t>The report is listed as New; Start review with a note, then Mark resolved; Resolved cannot be changed back</t>
        </is>
      </c>
      <c r="E17" s="9" t="inlineStr">
        <is>
          <t>PASS</t>
        </is>
      </c>
      <c r="F17" s="10" t="inlineStr">
        <is>
          <t>API: the report from the phone is in the queue as open; triage new -&gt; review -&gt; resolved works and resolved is final. The Incidents page opens in the browser; the triage buttons were not clicked there.</t>
        </is>
      </c>
    </row>
    <row r="18">
      <c r="A18" s="9" t="inlineStr">
        <is>
          <t>A17</t>
        </is>
      </c>
      <c r="B18" s="10" t="inlineStr">
        <is>
          <t>Admin site</t>
        </is>
      </c>
      <c r="C18" s="10" t="inlineStr">
        <is>
          <t>Reports page: change dates, download all three CSV files</t>
        </is>
      </c>
      <c r="D18" s="10" t="inlineStr">
        <is>
          <t>Numbers match the lists; files open (Arabic text readable in Excel)</t>
        </is>
      </c>
      <c r="E18" s="9" t="inlineStr">
        <is>
          <t>PASS</t>
        </is>
      </c>
      <c r="F18" s="10" t="inlineStr">
        <is>
          <t>Browser: all three CSV exports return 200. The files were not opened in Excel.</t>
        </is>
      </c>
    </row>
    <row r="19">
      <c r="A19" s="9" t="inlineStr">
        <is>
          <t>A18</t>
        </is>
      </c>
      <c r="B19" s="10" t="inlineStr">
        <is>
          <t>Admin site</t>
        </is>
      </c>
      <c r="C19" s="10" t="inlineStr">
        <is>
          <t>Matching, Shipments &amp; batching, Trips &amp; tracking, Comparison pages</t>
        </is>
      </c>
      <c r="D19" s="10" t="inlineStr">
        <is>
          <t>They show the seeded demo data (the combined passenger+parcel trip, the 1-trip-vs-6 comparison) without errors</t>
        </is>
      </c>
      <c r="E19" s="9" t="inlineStr">
        <is>
          <t>PASS</t>
        </is>
      </c>
      <c r="F19" s="10" t="inlineStr">
        <is>
          <t>Browser: matching, batching, trips and comparison pages open; the seeded story data is correct.</t>
        </is>
      </c>
    </row>
    <row r="20">
      <c r="A20" s="9" t="inlineStr">
        <is>
          <t>A19</t>
        </is>
      </c>
      <c r="B20" s="10" t="inlineStr">
        <is>
          <t>Admin site</t>
        </is>
      </c>
      <c r="C20" s="10" t="inlineStr">
        <is>
          <t>Sign out, then press the browser Back button</t>
        </is>
      </c>
      <c r="D20" s="10" t="inlineStr">
        <is>
          <t>You are not let back into the Admin pages</t>
        </is>
      </c>
      <c r="E20" s="9" t="inlineStr">
        <is>
          <t>PASS</t>
        </is>
      </c>
      <c r="F20" s="10" t="inlineStr">
        <is>
          <t>Browser: signing out ends the session; Back does not reopen signed-in pages. The site has no sideways scroll at phone width.</t>
        </is>
      </c>
    </row>
    <row r="21">
      <c r="A21" s="9" t="inlineStr">
        <is>
          <t>A20</t>
        </is>
      </c>
      <c r="B21" s="10" t="inlineStr">
        <is>
          <t>Admin site</t>
        </is>
      </c>
      <c r="C21" s="10" t="inlineStr">
        <is>
          <t>Reports page → Success metrics (or GET /api/v1/admin/success-metrics, and /export for the CSV): open it as the Admin, then try it as a passenger and without signing in</t>
        </is>
      </c>
      <c r="D21" s="10" t="inlineStr">
        <is>
          <t>Admin: figures for the last 30 days with the previous period for comparison, a CSV download; passenger: refused (403); not signed in: 401; a start date after the end date, or a range over a year, is refused</t>
        </is>
      </c>
      <c r="E21" s="9" t="inlineStr">
        <is>
          <t>PASS</t>
        </is>
      </c>
      <c r="F21" s="10" t="inlineStr">
        <is>
          <t>API check (scripts/test-env/new-feature-checks.mjs, run by run-checks.mjs on the live demo API): admin only (403 passenger, 401 anonymous); shape has range, generated_at and metrics with no personal data; reversed and over-a-year ranges refused; the CSV export is a text/csv attachment. The Reports page was not opened in the browser.</t>
        </is>
      </c>
    </row>
    <row r="22">
      <c r="A22" s="9" t="inlineStr">
        <is>
          <t>A21</t>
        </is>
      </c>
      <c r="B22" s="10" t="inlineStr">
        <is>
          <t>Admin site</t>
        </is>
      </c>
      <c r="C22" s="10" t="inlineStr">
        <is>
          <t>Matching / Batching page → Simulated comparison tab (or GET /api/v1/compare/simulation?seed=7)</t>
        </is>
      </c>
      <c r="D22" s="10" t="inlineStr">
        <is>
          <t>Manual, nearest-driver and Masari results, labelled as simulated; the same seed always gives the same numbers, another seed differs; nothing is written; passengers cannot call it</t>
        </is>
      </c>
      <c r="E22" s="9" t="inlineStr">
        <is>
          <t>PASS</t>
        </is>
      </c>
      <c r="F22" s="10" t="inlineStr">
        <is>
          <t>API check (scripts/test-env/new-feature-checks.mjs, run by run-checks.mjs on the live demo API): admin only; the same seed gives byte-identical results, another seed differs; all three methods present; a bad seed is refused. The Matching page tab was not opened in the browser.</t>
        </is>
      </c>
    </row>
    <row r="23">
      <c r="A23" s="9" t="inlineStr">
        <is>
          <t>B01</t>
        </is>
      </c>
      <c r="B23" s="10" t="inlineStr">
        <is>
          <t>Phone: signing in</t>
        </is>
      </c>
      <c r="C23" s="10" t="inlineStr">
        <is>
          <t>Open the app</t>
        </is>
      </c>
      <c r="D23" s="10" t="inlineStr">
        <is>
          <t>Sign-in screen, Arabic by default, right-to-left</t>
        </is>
      </c>
      <c r="E23" s="9" t="inlineStr">
        <is>
          <t>PASS</t>
        </is>
      </c>
      <c r="F23" s="10" t="inlineStr">
        <is>
          <t>Emulator: fresh install opens the sign-in screen in Arabic.</t>
        </is>
      </c>
    </row>
    <row r="24">
      <c r="A24" s="9" t="inlineStr">
        <is>
          <t>B02</t>
        </is>
      </c>
      <c r="B24" s="10" t="inlineStr">
        <is>
          <t>Phone: signing in</t>
        </is>
      </c>
      <c r="C24" s="10" t="inlineStr">
        <is>
          <t>Switch to English with the globe icon</t>
        </is>
      </c>
      <c r="D24" s="10" t="inlineStr">
        <is>
          <t>Everything flips to English, left-to-right; switch back works</t>
        </is>
      </c>
      <c r="E24" s="9" t="inlineStr">
        <is>
          <t>PASS</t>
        </is>
      </c>
      <c r="F24" s="10" t="inlineStr">
        <is>
          <t>Emulator: switches to English and back.</t>
        </is>
      </c>
    </row>
    <row r="25">
      <c r="A25" s="9" t="inlineStr">
        <is>
          <t>B03</t>
        </is>
      </c>
      <c r="B25" s="10" t="inlineStr">
        <is>
          <t>Phone: signing in</t>
        </is>
      </c>
      <c r="C25" s="10" t="inlineStr">
        <is>
          <t>Wrong email/password</t>
        </is>
      </c>
      <c r="D25" s="10" t="inlineStr">
        <is>
          <t>A clear "incorrect" message, not a crash or a network error</t>
        </is>
      </c>
      <c r="E25" s="9" t="inlineStr">
        <is>
          <t>PASS</t>
        </is>
      </c>
      <c r="F25" s="10" t="inlineStr">
        <is>
          <t>Emulator: wrong password shows a clear message.</t>
        </is>
      </c>
    </row>
    <row r="26">
      <c r="A26" s="9" t="inlineStr">
        <is>
          <t>B04</t>
        </is>
      </c>
      <c r="B26" s="10" t="inlineStr">
        <is>
          <t>Phone: signing in</t>
        </is>
      </c>
      <c r="C26" s="10" t="inlineStr">
        <is>
          <t>Sign in as the demo passenger</t>
        </is>
      </c>
      <c r="D26" s="10" t="inlineStr">
        <is>
          <t>Passenger home opens</t>
        </is>
      </c>
      <c r="E26" s="9" t="inlineStr">
        <is>
          <t>PASS</t>
        </is>
      </c>
      <c r="F26" s="10" t="inlineStr">
        <is>
          <t>Emulator: demo passenger signs in and out.</t>
        </is>
      </c>
    </row>
    <row r="27">
      <c r="A27" s="9" t="inlineStr">
        <is>
          <t>B05</t>
        </is>
      </c>
      <c r="B27" s="10" t="inlineStr">
        <is>
          <t>Phone: signing in</t>
        </is>
      </c>
      <c r="C27" s="10" t="inlineStr">
        <is>
          <t>Sign out, sign in as the demo driver, then the demo merchant</t>
        </is>
      </c>
      <c r="D27" s="10" t="inlineStr">
        <is>
          <t>Each role sees its own home and tabs, and none of the other roles' screens</t>
        </is>
      </c>
      <c r="E27" s="9" t="inlineStr">
        <is>
          <t>PASS</t>
        </is>
      </c>
      <c r="F27" s="10" t="inlineStr">
        <is>
          <t>Emulator: demo driver and demo merchant each reach their own home and sign out.</t>
        </is>
      </c>
    </row>
    <row r="28">
      <c r="A28" s="9" t="inlineStr">
        <is>
          <t>B06</t>
        </is>
      </c>
      <c r="B28" s="10" t="inlineStr">
        <is>
          <t>Phone: signing in</t>
        </is>
      </c>
      <c r="C28" s="10" t="inlineStr">
        <is>
          <t>Close the app completely and reopen it</t>
        </is>
      </c>
      <c r="D28" s="10" t="inlineStr">
        <is>
          <t>You are still signed in (or sent to sign-in, but never to a broken screen)</t>
        </is>
      </c>
      <c r="E28" s="9" t="inlineStr">
        <is>
          <t>PASS</t>
        </is>
      </c>
      <c r="F28" s="10" t="inlineStr">
        <is>
          <t>Emulator: closing and reopening the app keeps you signed in.</t>
        </is>
      </c>
    </row>
    <row r="29">
      <c r="A29" s="9" t="inlineStr">
        <is>
          <t>B07</t>
        </is>
      </c>
      <c r="B29" s="10" t="inlineStr">
        <is>
          <t>Phone: signing in</t>
        </is>
      </c>
      <c r="C29" s="10" t="inlineStr">
        <is>
          <t>Turn the emulator's internet off (airplane mode) and open a list</t>
        </is>
      </c>
      <c r="D29" s="10" t="inlineStr">
        <is>
          <t>A friendly offline/error message with a retry; no crash</t>
        </is>
      </c>
      <c r="E29" s="9" t="inlineStr">
        <is>
          <t>PASS</t>
        </is>
      </c>
      <c r="F29" s="10" t="inlineStr">
        <is>
          <t>Emulator: with no internet, signing in shows 'Network unavailable...'; it works again when the internet returns.</t>
        </is>
      </c>
    </row>
    <row r="30">
      <c r="A30" s="9" t="inlineStr">
        <is>
          <t>C01</t>
        </is>
      </c>
      <c r="B30" s="10" t="inlineStr">
        <is>
          <t>Phone: sign-up (invitation or open)</t>
        </is>
      </c>
      <c r="C30" s="10" t="inlineStr">
        <is>
          <t>Sign-in screen → "New to Masari? Create an account"</t>
        </is>
      </c>
      <c r="D30" s="10" t="inlineStr">
        <is>
          <t>A screen asks "How will you use Masari?" with three choices: Normal user, Driver, Shop owner. Normal user opens the email sign-up form; Driver and Shop owner open the invitation-code and phone screen with the role already chosen; Back returns to sign-in</t>
        </is>
      </c>
      <c r="E30" s="9" t="inlineStr">
        <is>
          <t>PASS</t>
        </is>
      </c>
      <c r="F30" s="10" t="inlineStr">
        <is>
          <t>Emulator, Arabic and English: Create account asks Normal user / Driver / Shop owner. Normal user opens the email form; Driver and Shop owner open the invitation screen with the role chosen; Back returns to sign-in.</t>
        </is>
      </c>
    </row>
    <row r="31">
      <c r="A31" s="9" t="inlineStr">
        <is>
          <t>C02</t>
        </is>
      </c>
      <c r="B31" s="10" t="inlineStr">
        <is>
          <t>Phone: sign-up (invitation or open)</t>
        </is>
      </c>
      <c r="C31" s="10" t="inlineStr">
        <is>
          <t>Enter a wrong code</t>
        </is>
      </c>
      <c r="D31" s="10" t="inlineStr">
        <is>
          <t>A clear error; you can try again</t>
        </is>
      </c>
      <c r="E31" s="9" t="inlineStr">
        <is>
          <t>PASS</t>
        </is>
      </c>
      <c r="F31" s="10" t="inlineStr">
        <is>
          <t>API: a wrong one-time code is refused.</t>
        </is>
      </c>
    </row>
    <row r="32">
      <c r="A32" s="9" t="inlineStr">
        <is>
          <t>C03</t>
        </is>
      </c>
      <c r="B32" s="10" t="inlineStr">
        <is>
          <t>Phone: sign-up (invitation or open)</t>
        </is>
      </c>
      <c r="C32" s="10" t="inlineStr">
        <is>
          <t>Choose Shop owner (invitation code and +970590002003), enter the right code (from otp.txt), then name, a password of at least 15 characters, tick the three consents, Create account</t>
        </is>
      </c>
      <c r="D32" s="10" t="inlineStr">
        <is>
          <t>Account created; the screen says the account is pending and an admin review usually takes up to 24 hours</t>
        </is>
      </c>
      <c r="E32" s="9" t="inlineStr">
        <is>
          <t>PASS</t>
        </is>
      </c>
      <c r="F32" s="10" t="inlineStr">
        <is>
          <t>Emulator, Arabic and English: shop-owner account created; the screen says it is pending and review takes up to 24 hours.</t>
        </is>
      </c>
    </row>
    <row r="33">
      <c r="A33" s="9" t="inlineStr">
        <is>
          <t>C04</t>
        </is>
      </c>
      <c r="B33" s="10" t="inlineStr">
        <is>
          <t>Phone: sign-up (invitation or open)</t>
        </is>
      </c>
      <c r="C33" s="10" t="inlineStr">
        <is>
          <t>Repeat for the driver (+970590002002)</t>
        </is>
      </c>
      <c r="D33" s="10" t="inlineStr">
        <is>
          <t>The screen says "Application under review" and shows a "Verification documents" card</t>
        </is>
      </c>
      <c r="E33" s="9" t="inlineStr">
        <is>
          <t>PASS</t>
        </is>
      </c>
      <c r="F33" s="10" t="inlineStr">
        <is>
          <t>Emulator: driver sees 'Application under review' and the Verification documents card.</t>
        </is>
      </c>
    </row>
    <row r="34">
      <c r="A34" s="9" t="inlineStr">
        <is>
          <t>C05</t>
        </is>
      </c>
      <c r="B34" s="10" t="inlineStr">
        <is>
          <t>Phone: sign-up (invitation or open)</t>
        </is>
      </c>
      <c r="C34" s="10" t="inlineStr">
        <is>
          <t>Driver: Add a document → choose licence.jpg (type "Driving licence")</t>
        </is>
      </c>
      <c r="D34" s="10" t="inlineStr">
        <is>
          <t>It appears in the list as "Driving licence · 1 KB"</t>
        </is>
      </c>
      <c r="E34" s="9" t="inlineStr">
        <is>
          <t>PASS</t>
        </is>
      </c>
      <c r="F34" s="10" t="inlineStr">
        <is>
          <t>Emulator: licence.jpg uploads through the system file picker and is listed.</t>
        </is>
      </c>
    </row>
    <row r="35">
      <c r="A35" s="9" t="inlineStr">
        <is>
          <t>C06</t>
        </is>
      </c>
      <c r="B35" s="10" t="inlineStr">
        <is>
          <t>Phone: sign-up (invitation or open)</t>
        </is>
      </c>
      <c r="C35" s="10" t="inlineStr">
        <is>
          <t>Add vehicle-registration.pdf with type "Vehicle registration"</t>
        </is>
      </c>
      <c r="D35" s="10" t="inlineStr">
        <is>
          <t>It appears in the list</t>
        </is>
      </c>
      <c r="E35" s="9" t="inlineStr">
        <is>
          <t>PASS</t>
        </is>
      </c>
      <c r="F35" s="10" t="inlineStr">
        <is>
          <t>Emulator: vehicle-registration.pdf uploads and is listed as Vehicle registration.</t>
        </is>
      </c>
    </row>
    <row r="36">
      <c r="A36" s="9" t="inlineStr">
        <is>
          <t>C07</t>
        </is>
      </c>
      <c r="B36" s="10" t="inlineStr">
        <is>
          <t>Phone: sign-up (invitation or open)</t>
        </is>
      </c>
      <c r="C36" s="10" t="inlineStr">
        <is>
          <t>Add not-really-an-image.jpg</t>
        </is>
      </c>
      <c r="D36" s="10" t="inlineStr">
        <is>
          <t>Refused with "Only JPEG, PNG or PDF files can be uploaded"; nothing added</t>
        </is>
      </c>
      <c r="E36" s="9" t="inlineStr">
        <is>
          <t>PASS</t>
        </is>
      </c>
      <c r="F36" s="10" t="inlineStr">
        <is>
          <t>Emulator: not-really-an-image.jpg is refused with 'Only JPEG, PNG or PDF files can be uploaded'.</t>
        </is>
      </c>
    </row>
    <row r="37">
      <c r="A37" s="9" t="inlineStr">
        <is>
          <t>C08</t>
        </is>
      </c>
      <c r="B37" s="10" t="inlineStr">
        <is>
          <t>Phone: sign-up (invitation or open)</t>
        </is>
      </c>
      <c r="C37" s="10" t="inlineStr">
        <is>
          <t>Tap the bin on one document</t>
        </is>
      </c>
      <c r="D37" s="10" t="inlineStr">
        <is>
          <t>It disappears from the list</t>
        </is>
      </c>
      <c r="E37" s="9" t="inlineStr">
        <is>
          <t>PASS</t>
        </is>
      </c>
      <c r="F37" s="10" t="inlineStr">
        <is>
          <t>Emulator: the bin removes a document from the list and from the server.</t>
        </is>
      </c>
    </row>
    <row r="38">
      <c r="A38" s="9" t="inlineStr">
        <is>
          <t>C09</t>
        </is>
      </c>
      <c r="B38" s="10" t="inlineStr">
        <is>
          <t>Phone: sign-up (invitation or open)</t>
        </is>
      </c>
      <c r="C38" s="10" t="inlineStr">
        <is>
          <t>Try to add more than 6 documents</t>
        </is>
      </c>
      <c r="D38" s="10" t="inlineStr">
        <is>
          <t>After 6 the Add button is disabled or a limit message shows</t>
        </is>
      </c>
      <c r="E38" s="9" t="inlineStr">
        <is>
          <t>PASS</t>
        </is>
      </c>
      <c r="F38" s="10" t="inlineStr">
        <is>
          <t>API: the 7th document is refused. The disabled Add button on the phone was not tried.</t>
        </is>
      </c>
    </row>
    <row r="39">
      <c r="A39" s="9" t="inlineStr">
        <is>
          <t>C10</t>
        </is>
      </c>
      <c r="B39" s="10" t="inlineStr">
        <is>
          <t>Phone: sign-up (invitation or open)</t>
        </is>
      </c>
      <c r="C39" s="10" t="inlineStr">
        <is>
          <t>In the Admin site, open that driver's review</t>
        </is>
      </c>
      <c r="D39" s="10" t="inlineStr">
        <is>
          <t>The uploaded documents are listed with a Download button; the downloaded file opens and is the right file</t>
        </is>
      </c>
      <c r="E39" s="9" t="inlineStr">
        <is>
          <t>PASS</t>
        </is>
      </c>
      <c r="F39" s="10" t="inlineStr">
        <is>
          <t>API: the Admin downloads the document, identical bytes, as an attachment. The Download button in the browser was not clicked.</t>
        </is>
      </c>
    </row>
    <row r="40">
      <c r="A40" s="9" t="inlineStr">
        <is>
          <t>C11</t>
        </is>
      </c>
      <c r="B40" s="10" t="inlineStr">
        <is>
          <t>Phone: sign-up (invitation or open)</t>
        </is>
      </c>
      <c r="C40" s="10" t="inlineStr">
        <is>
          <t>Try to sign in on the phone as the new (pending) driver</t>
        </is>
      </c>
      <c r="D40" s="10" t="inlineStr">
        <is>
          <t>You are not let in (account pending), with a clear message</t>
        </is>
      </c>
      <c r="E40" s="9" t="inlineStr">
        <is>
          <t>PASS</t>
        </is>
      </c>
      <c r="F40" s="10" t="inlineStr">
        <is>
          <t>API and emulator: a pending driver cannot sign in (403).</t>
        </is>
      </c>
    </row>
    <row r="41">
      <c r="A41" s="9" t="inlineStr">
        <is>
          <t>C12</t>
        </is>
      </c>
      <c r="B41" s="10" t="inlineStr">
        <is>
          <t>Phone: sign-up (invitation or open)</t>
        </is>
      </c>
      <c r="C41" s="10" t="inlineStr">
        <is>
          <t>Admin approves that driver (A13), then press Refresh in the app's pending screen</t>
        </is>
      </c>
      <c r="D41" s="10" t="inlineStr">
        <is>
          <t>It now says approved and offers sign-in; sign-in works</t>
        </is>
      </c>
      <c r="E41" s="9" t="inlineStr">
        <is>
          <t>PASS</t>
        </is>
      </c>
      <c r="F41" s="10" t="inlineStr">
        <is>
          <t>Emulator: after approval the app says 'Account approved', and the driver signs in by phone and reaches the driver home.</t>
        </is>
      </c>
    </row>
    <row r="42">
      <c r="A42" s="9" t="inlineStr">
        <is>
          <t>C13</t>
        </is>
      </c>
      <c r="B42" s="10" t="inlineStr">
        <is>
          <t>Phone: sign-up (invitation or open)</t>
        </is>
      </c>
      <c r="C42" s="10" t="inlineStr">
        <is>
          <t>Admin approves the shop owner from C03 (A09), then sign in on the phone with their phone number and password</t>
        </is>
      </c>
      <c r="D42" s="10" t="inlineStr">
        <is>
          <t>Same pending → approved path; the merchant home opens</t>
        </is>
      </c>
      <c r="E42" s="9" t="inlineStr">
        <is>
          <t>PASS</t>
        </is>
      </c>
      <c r="F42" s="10" t="inlineStr">
        <is>
          <t>Approval and phone sign-in to the merchant home were checked on the 28 Oct run (and the API suite repeats them); the sign-up entry is the new chooser, checked in C03.</t>
        </is>
      </c>
    </row>
    <row r="43">
      <c r="A43" s="9" t="inlineStr">
        <is>
          <t>C14</t>
        </is>
      </c>
      <c r="B43" s="10" t="inlineStr">
        <is>
          <t>Phone: sign-up (invitation or open)</t>
        </is>
      </c>
      <c r="C43" s="10" t="inlineStr">
        <is>
          <t>Use an invitation code twice, or a code with the wrong phone</t>
        </is>
      </c>
      <c r="D43" s="10" t="inlineStr">
        <is>
          <t>Refused without revealing why</t>
        </is>
      </c>
      <c r="E43" s="9" t="inlineStr">
        <is>
          <t>PASS</t>
        </is>
      </c>
      <c r="F43" s="10" t="inlineStr">
        <is>
          <t>API: a used code and a wrong phone are refused.</t>
        </is>
      </c>
    </row>
    <row r="44">
      <c r="A44" s="9" t="inlineStr">
        <is>
          <t>C15</t>
        </is>
      </c>
      <c r="B44" s="10" t="inlineStr">
        <is>
          <t>Phone: sign-up (invitation or open)</t>
        </is>
      </c>
      <c r="C44" s="10" t="inlineStr">
        <is>
          <t>Sign-in screen → "Check an existing application" with a pending applicant's phone and password</t>
        </is>
      </c>
      <c r="D44" s="10" t="inlineStr">
        <is>
          <t>Shows the application status</t>
        </is>
      </c>
      <c r="E44" s="9" t="inlineStr">
        <is>
          <t>PASS</t>
        </is>
      </c>
      <c r="F44" s="10" t="inlineStr">
        <is>
          <t>API: the application-status endpoint answers 'pending review'. The phone's 'Check an existing application' screen was not tried.</t>
        </is>
      </c>
    </row>
    <row r="45">
      <c r="A45" s="9" t="inlineStr">
        <is>
          <t>C16</t>
        </is>
      </c>
      <c r="B45" s="10" t="inlineStr">
        <is>
          <t>Phone: sign-up (invitation or open)</t>
        </is>
      </c>
      <c r="C45" s="10" t="inlineStr">
        <is>
          <t>Shop owner (pending, from C03): Add a document → choose licence.jpg (type "Commercial register")</t>
        </is>
      </c>
      <c r="D45" s="10" t="inlineStr">
        <is>
          <t>The pending screen shows "Verification documents" asking for the commercial register, national ID and shop photo; the file appears in the list as "Commercial register · 1 KB"</t>
        </is>
      </c>
      <c r="E45" s="9" t="inlineStr">
        <is>
          <t>PASS</t>
        </is>
      </c>
      <c r="F45" s="10" t="inlineStr">
        <is>
          <t>Emulator, Arabic and English: the shop owner sees the shop-papers card, uploads licence.jpg as Commercial register, and it is listed (1 KB). API: wrong kinds and fake files are refused, limit of six.</t>
        </is>
      </c>
    </row>
    <row r="46">
      <c r="A46" s="9" t="inlineStr">
        <is>
          <t>C17</t>
        </is>
      </c>
      <c r="B46" s="10" t="inlineStr">
        <is>
          <t>Phone: sign-up (invitation or open)</t>
        </is>
      </c>
      <c r="C46" s="10" t="inlineStr">
        <is>
          <t>In the Admin site, Users → the pending shop owner → Approve (or Reject)</t>
        </is>
      </c>
      <c r="D46" s="10" t="inlineStr">
        <is>
          <t>The shop owner's documents are listed with a Download button before you decide; the downloaded file opens and is the right file</t>
        </is>
      </c>
      <c r="E46" s="9" t="inlineStr">
        <is>
          <t>PASS</t>
        </is>
      </c>
      <c r="F46" s="10" t="inlineStr">
        <is>
          <t>API: the Admin lists and downloads the shop owner's document as an attachment with identical bytes. The Approve card in the browser was not clicked.</t>
        </is>
      </c>
    </row>
    <row r="47">
      <c r="A47" s="9" t="inlineStr">
        <is>
          <t>C18</t>
        </is>
      </c>
      <c r="B47" s="10" t="inlineStr">
        <is>
          <t>Phone: sign-up (invitation or open)</t>
        </is>
      </c>
      <c r="C47" s="10" t="inlineStr">
        <is>
          <t>Create account → Normal user → name, an email ending in @example.com, a password of at least 12 characters → Sign up; type the six-digit code from email-codes.txt, tick the three documents, Continue; then enter a phone such as +970590003020, Send code, type the code from otp.txt, Continue</t>
        </is>
      </c>
      <c r="D47" s="10" t="inlineStr">
        <is>
          <t>The passenger home opens; no invitation code and no admin approval were needed</t>
        </is>
      </c>
      <c r="E47" s="9" t="inlineStr">
        <is>
          <t>PASS</t>
        </is>
      </c>
      <c r="F47" s="10" t="inlineStr">
        <is>
          <t>Emulator, English: Normal user -&gt; email sign-up -&gt; token from email-codes.txt -&gt; three documents -&gt; phone check with the code from otp.txt -&gt; passenger home. Run after making the demo write email and phone codes to files.</t>
        </is>
      </c>
    </row>
    <row r="48">
      <c r="A48" s="9" t="inlineStr">
        <is>
          <t>C19</t>
        </is>
      </c>
      <c r="B48" s="10" t="inlineStr">
        <is>
          <t>Phone: sign-up (invitation or open)</t>
        </is>
      </c>
      <c r="C48" s="10" t="inlineStr">
        <is>
          <t>Open registration (the local test environment turns it on). Create account → Driver. Leave the invitation code empty (it says "Invitation code (optional)"), enter a new phone such as +970590004001, Send code, type the code from otp.txt</t>
        </is>
      </c>
      <c r="D48" s="10" t="inlineStr">
        <is>
          <t>The code screen opens without any invitation code</t>
        </is>
      </c>
      <c r="E48" s="9" t="inlineStr"/>
      <c r="F48" s="10" t="inlineStr">
        <is>
          <t>Not run in this pass: needs the emulator or a manual check (see the Summary sheet).</t>
        </is>
      </c>
    </row>
    <row r="49">
      <c r="A49" s="9" t="inlineStr">
        <is>
          <t>C20</t>
        </is>
      </c>
      <c r="B49" s="10" t="inlineStr">
        <is>
          <t>Phone: sign-up (invitation or open)</t>
        </is>
      </c>
      <c r="C49" s="10" t="inlineStr">
        <is>
          <t>Enter a wrong code, then the right one; then name, a password of at least 15 characters, tick the three consents, Create account</t>
        </is>
      </c>
      <c r="D49" s="10" t="inlineStr">
        <is>
          <t>Account created; the screen says "Upload your documents" (not "Application under review"); the button "Send for review" is disabled and lists what is still needed</t>
        </is>
      </c>
      <c r="E49" s="9" t="inlineStr"/>
      <c r="F49" s="10" t="inlineStr">
        <is>
          <t>Not run in this pass: needs the emulator or a manual check (see the Summary sheet).</t>
        </is>
      </c>
    </row>
    <row r="50">
      <c r="A50" s="9" t="inlineStr">
        <is>
          <t>C21</t>
        </is>
      </c>
      <c r="B50" s="10" t="inlineStr">
        <is>
          <t>Phone: sign-up (invitation or open)</t>
        </is>
      </c>
      <c r="C50" s="10" t="inlineStr">
        <is>
          <t>Add licence.jpg (Driving licence) and vehicle-registration.pdf (Vehicle registration) only</t>
        </is>
      </c>
      <c r="D50" s="10" t="inlineStr">
        <is>
          <t>"Send for review" stays disabled; "Still needed" names the national ID</t>
        </is>
      </c>
      <c r="E50" s="9" t="inlineStr"/>
      <c r="F50" s="10" t="inlineStr">
        <is>
          <t>Not run in this pass: needs the emulator or a manual check (see the Summary sheet).</t>
        </is>
      </c>
    </row>
    <row r="51">
      <c r="A51" s="9" t="inlineStr">
        <is>
          <t>C22</t>
        </is>
      </c>
      <c r="B51" s="10" t="inlineStr">
        <is>
          <t>Phone: sign-up (invitation or open)</t>
        </is>
      </c>
      <c r="C51" s="10" t="inlineStr">
        <is>
          <t>In the Admin site, look in Users and the driver approvals queue for that driver</t>
        </is>
      </c>
      <c r="D51" s="10" t="inlineStr">
        <is>
          <t>The driver is not in the review queue yet; approving or rejecting is refused (not submitted)</t>
        </is>
      </c>
      <c r="E51" s="9" t="inlineStr"/>
      <c r="F51" s="10" t="inlineStr">
        <is>
          <t>Not run in this pass: needs the emulator or a manual check (see the Summary sheet).</t>
        </is>
      </c>
    </row>
    <row r="52">
      <c r="A52" s="9" t="inlineStr">
        <is>
          <t>C23</t>
        </is>
      </c>
      <c r="B52" s="10" t="inlineStr">
        <is>
          <t>Phone: sign-up (invitation or open)</t>
        </is>
      </c>
      <c r="C52" s="10" t="inlineStr">
        <is>
          <t>Add a National ID document, then press "Send for review"</t>
        </is>
      </c>
      <c r="D52" s="10" t="inlineStr">
        <is>
          <t>The screen changes to "Application under review" and says review usually takes up to 24 hours</t>
        </is>
      </c>
      <c r="E52" s="9" t="inlineStr"/>
      <c r="F52" s="10" t="inlineStr">
        <is>
          <t>Not run in this pass: needs the emulator or a manual check (see the Summary sheet).</t>
        </is>
      </c>
    </row>
    <row r="53">
      <c r="A53" s="9" t="inlineStr">
        <is>
          <t>C24</t>
        </is>
      </c>
      <c r="B53" s="10" t="inlineStr">
        <is>
          <t>Phone: sign-up (invitation or open)</t>
        </is>
      </c>
      <c r="C53" s="10" t="inlineStr">
        <is>
          <t>In the Admin site open the driver approvals queue</t>
        </is>
      </c>
      <c r="D53" s="10" t="inlineStr">
        <is>
          <t>The driver is listed; the three documents have Download buttons and open correctly; Approve works; the phone then signs in</t>
        </is>
      </c>
      <c r="E53" s="9" t="inlineStr"/>
      <c r="F53" s="10" t="inlineStr">
        <is>
          <t>Not run in this pass: needs the emulator or a manual check (see the Summary sheet).</t>
        </is>
      </c>
    </row>
    <row r="54">
      <c r="A54" s="9" t="inlineStr">
        <is>
          <t>C25</t>
        </is>
      </c>
      <c r="B54" s="10" t="inlineStr">
        <is>
          <t>Phone: sign-up (invitation or open)</t>
        </is>
      </c>
      <c r="C54" s="10" t="inlineStr">
        <is>
          <t>Create account → Shop owner with no invitation code (+970590004002); upload commercial register and national ID only</t>
        </is>
      </c>
      <c r="D54" s="10" t="inlineStr">
        <is>
          <t>"Send for review" stays disabled until the shop photo is added; then it submits and the shop owner appears in Users as a pending merchant that can be approved</t>
        </is>
      </c>
      <c r="E54" s="9" t="inlineStr"/>
      <c r="F54" s="10" t="inlineStr">
        <is>
          <t>Not run in this pass: needs the emulator or a manual check (see the Summary sheet).</t>
        </is>
      </c>
    </row>
    <row r="55">
      <c r="A55" s="9" t="inlineStr">
        <is>
          <t>C26</t>
        </is>
      </c>
      <c r="B55" s="10" t="inlineStr">
        <is>
          <t>Phone: sign-up (invitation or open)</t>
        </is>
      </c>
      <c r="C55" s="10" t="inlineStr">
        <is>
          <t>Open registration, start with a phone number that already has an account, type the code from otp.txt, then fill the form</t>
        </is>
      </c>
      <c r="D55" s="10" t="inlineStr">
        <is>
          <t>The first screens look exactly like a new number; only at Create account does it say the registration could not be completed</t>
        </is>
      </c>
      <c r="E55" s="9" t="inlineStr"/>
      <c r="F55" s="10" t="inlineStr">
        <is>
          <t>Not run in this pass: needs the emulator or a manual check (see the Summary sheet).</t>
        </is>
      </c>
    </row>
    <row r="56">
      <c r="A56" s="9" t="inlineStr">
        <is>
          <t>C27</t>
        </is>
      </c>
      <c r="B56" s="10" t="inlineStr">
        <is>
          <t>Phone: sign-up (invitation or open)</t>
        </is>
      </c>
      <c r="C56" s="10" t="inlineStr">
        <is>
          <t>Start sign-up again with the same phone number twice, then use the first code</t>
        </is>
      </c>
      <c r="D56" s="10" t="inlineStr">
        <is>
          <t>The older attempt no longer works; only the newest code and screen continue</t>
        </is>
      </c>
      <c r="E56" s="9" t="inlineStr"/>
      <c r="F56" s="10" t="inlineStr">
        <is>
          <t>Not run in this pass: needs the emulator or a manual check (see the Summary sheet).</t>
        </is>
      </c>
    </row>
    <row r="57">
      <c r="A57" s="9" t="inlineStr">
        <is>
          <t>C28</t>
        </is>
      </c>
      <c r="B57" s="10" t="inlineStr">
        <is>
          <t>Phone: sign-up (invitation or open)</t>
        </is>
      </c>
      <c r="C57" s="10" t="inlineStr">
        <is>
          <t>Request a code for the same phone more than 5 times in a day, or start more than 10 sign-ups from the one phone in an hour</t>
        </is>
      </c>
      <c r="D57" s="10" t="inlineStr">
        <is>
          <t>The app shows a "too many attempts" message; no further codes are produced in otp.txt</t>
        </is>
      </c>
      <c r="E57" s="9" t="inlineStr"/>
      <c r="F57" s="10" t="inlineStr">
        <is>
          <t>Not run in this pass: needs the emulator or a manual check (see the Summary sheet).</t>
        </is>
      </c>
    </row>
    <row r="58">
      <c r="A58" s="9" t="inlineStr">
        <is>
          <t>C29</t>
        </is>
      </c>
      <c r="B58" s="10" t="inlineStr">
        <is>
          <t>Phone: sign-up (invitation or open)</t>
        </is>
      </c>
      <c r="C58" s="10" t="inlineStr">
        <is>
          <t>Sign-in screen → "Check an existing application" for the C20 driver before documents are sent</t>
        </is>
      </c>
      <c r="D58" s="10" t="inlineStr">
        <is>
          <t>It shows "Upload your documents", not "under review"</t>
        </is>
      </c>
      <c r="E58" s="9" t="inlineStr"/>
      <c r="F58" s="10" t="inlineStr">
        <is>
          <t>Not run in this pass: needs the emulator or a manual check (see the Summary sheet).</t>
        </is>
      </c>
    </row>
    <row r="59">
      <c r="A59" s="9" t="inlineStr">
        <is>
          <t>C30</t>
        </is>
      </c>
      <c r="B59" s="10" t="inlineStr">
        <is>
          <t>Phone: sign-up (invitation or open)</t>
        </is>
      </c>
      <c r="C59" s="10" t="inlineStr">
        <is>
          <t>Invitation codes still work: repeat C03 or C04 with a code from invitations.txt</t>
        </is>
      </c>
      <c r="D59" s="10" t="inlineStr">
        <is>
          <t>Created as before; the application is under review at once (no extra "Send for review" step)</t>
        </is>
      </c>
      <c r="E59" s="9" t="inlineStr">
        <is>
          <t>PASS</t>
        </is>
      </c>
      <c r="F59" s="10" t="inlineStr">
        <is>
          <t>API: invited driver, passenger and shop owner sign-ups still work and the driver appears in the admin queue with its documents without an extra submit step (run-checks C01-C13).</t>
        </is>
      </c>
    </row>
    <row r="60">
      <c r="A60" s="9" t="inlineStr">
        <is>
          <t>C31</t>
        </is>
      </c>
      <c r="B60" s="10" t="inlineStr">
        <is>
          <t>Phone: sign-up (invitation or open)</t>
        </is>
      </c>
      <c r="C60" s="10" t="inlineStr">
        <is>
          <t>Create account → Normal user → name, email ending @example.com, password of 12+ characters → Sign up; read the code from the newest line for that email in email-codes.txt and type it</t>
        </is>
      </c>
      <c r="D60" s="10" t="inlineStr">
        <is>
          <t>The code is six digits (not a long token) and finishes the sign-up; typing the same code again later does not work</t>
        </is>
      </c>
      <c r="E60" s="9" t="inlineStr">
        <is>
          <t>PASS</t>
        </is>
      </c>
      <c r="F60" s="10" t="inlineStr">
        <is>
          <t>API check (scripts/test-env/new-feature-checks.mjs, run by run-checks.mjs on the live demo API): register/start emails a six-digit code; it completes the sign-up (201); the same code again is refused; the new account signs in by email. Not typed into the phone screen.</t>
        </is>
      </c>
    </row>
    <row r="61">
      <c r="A61" s="9" t="inlineStr">
        <is>
          <t>C32</t>
        </is>
      </c>
      <c r="B61" s="10" t="inlineStr">
        <is>
          <t>Phone: sign-up (invitation or open)</t>
        </is>
      </c>
      <c r="C61" s="10" t="inlineStr">
        <is>
          <t>Start another email sign-up and type a wrong six-digit code five times, then the right code</t>
        </is>
      </c>
      <c r="D61" s="10" t="inlineStr">
        <is>
          <t>Each wrong code is refused; after the fifth even the right code is refused and no account exists; start again to get a new code</t>
        </is>
      </c>
      <c r="E61" s="9" t="inlineStr">
        <is>
          <t>PASS</t>
        </is>
      </c>
      <c r="F61" s="10" t="inlineStr">
        <is>
          <t>API check (scripts/test-env/new-feature-checks.mjs, run by run-checks.mjs on the live demo API): five wrong codes are each refused, then the right code is refused too and no account exists.</t>
        </is>
      </c>
    </row>
    <row r="62">
      <c r="A62" s="9" t="inlineStr">
        <is>
          <t>C33</t>
        </is>
      </c>
      <c r="B62" s="10" t="inlineStr">
        <is>
          <t>Phone: sign-up (invitation or open)</t>
        </is>
      </c>
      <c r="C62" s="10" t="inlineStr">
        <is>
          <t>In the six-digit box try 5 digits, 7 digits, letters, or a space in the middle</t>
        </is>
      </c>
      <c r="D62" s="10" t="inlineStr">
        <is>
          <t>Refused before it is checked (the Continue button stays disabled or the API answers 400)</t>
        </is>
      </c>
      <c r="E62" s="9" t="inlineStr">
        <is>
          <t>PASS</t>
        </is>
      </c>
      <c r="F62" s="10" t="inlineStr">
        <is>
          <t>API check (scripts/test-env/new-feature-checks.mjs, run by run-checks.mjs on the live demo API): 5 digits, 7 digits, letters and a space inside are all refused (400).</t>
        </is>
      </c>
    </row>
    <row r="63">
      <c r="A63" s="9" t="inlineStr">
        <is>
          <t>C34</t>
        </is>
      </c>
      <c r="B63" s="10" t="inlineStr">
        <is>
          <t>Phone: sign-up (invitation or open)</t>
        </is>
      </c>
      <c r="C63" s="10" t="inlineStr">
        <is>
          <t>Sign-in screen → Forgot password → enter the email; read the code from email-codes.txt; enter email + code + a new password. Also try an email that has no account</t>
        </is>
      </c>
      <c r="D63" s="10" t="inlineStr">
        <is>
          <t>The screen says the same thing for known and unknown emails and no email is produced for the unknown one; the new password signs in, the old one does not; the same code cannot be used twice</t>
        </is>
      </c>
      <c r="E63" s="9" t="inlineStr">
        <is>
          <t>PASS</t>
        </is>
      </c>
      <c r="F63" s="10" t="inlineStr">
        <is>
          <t>API check (scripts/test-env/new-feature-checks.mjs, run by run-checks.mjs on the live demo API): reset start answers {ok:true} for known and unknown emails and writes an email only for the known one; wrong code refused; right code sets the new password (old fails, new works); a used code is refused. The Forgot password screen on the phone was not driven.</t>
        </is>
      </c>
    </row>
    <row r="64">
      <c r="A64" s="9" t="inlineStr">
        <is>
          <t>C35</t>
        </is>
      </c>
      <c r="B64" s="10" t="inlineStr">
        <is>
          <t>Phone: sign-up (invitation or open)</t>
        </is>
      </c>
      <c r="C64" s="10" t="inlineStr">
        <is>
          <t>Forgot password: type a wrong six-digit code five times, then the right one</t>
        </is>
      </c>
      <c r="D64" s="10" t="inlineStr">
        <is>
          <t>The reset is locked; the right code is refused; ask for a new code</t>
        </is>
      </c>
      <c r="E64" s="9" t="inlineStr">
        <is>
          <t>PASS</t>
        </is>
      </c>
      <c r="F64" s="10" t="inlineStr">
        <is>
          <t>API check (scripts/test-env/new-feature-checks.mjs, run by run-checks.mjs on the live demo API): five wrong reset codes lock it; the right code is then refused.</t>
        </is>
      </c>
    </row>
    <row r="65">
      <c r="A65" s="9" t="inlineStr">
        <is>
          <t>C36</t>
        </is>
      </c>
      <c r="B65" s="10" t="inlineStr">
        <is>
          <t>Phone: sign-up (invitation or open)</t>
        </is>
      </c>
      <c r="C65" s="10" t="inlineStr">
        <is>
          <t>Open registration (as C19): Driver, no invitation code, new phone such as +970590005xxx; wrong then right phone code; name, password, consents</t>
        </is>
      </c>
      <c r="D65" s="10" t="inlineStr">
        <is>
          <t>Account created with no invitation; the app says "Upload your documents", not "under review" (API: onboarding status documents_required)</t>
        </is>
      </c>
      <c r="E65" s="9" t="inlineStr">
        <is>
          <t>PASS</t>
        </is>
      </c>
      <c r="F65" s="10" t="inlineStr">
        <is>
          <t>API check (scripts/test-env/new-feature-checks.mjs, run by run-checks.mjs on the live demo API): driver registers with no invitation code (wrong phone code refused first); account pending; onboarding status documents_required. Not driven on the phone.</t>
        </is>
      </c>
    </row>
    <row r="66">
      <c r="A66" s="9" t="inlineStr">
        <is>
          <t>C37</t>
        </is>
      </c>
      <c r="B66" s="10" t="inlineStr">
        <is>
          <t>Phone: sign-up (invitation or open)</t>
        </is>
      </c>
      <c r="C66" s="10" t="inlineStr">
        <is>
          <t>Press "Send for review" (API: POST /onboarding/application/submit) with no documents, then with only the licence and registration</t>
        </is>
      </c>
      <c r="D66" s="10" t="inlineStr">
        <is>
          <t>Refused with 409 documents_required, listing the missing documents (3 first, then 1); nothing is submitted</t>
        </is>
      </c>
      <c r="E66" s="9" t="inlineStr">
        <is>
          <t>PASS</t>
        </is>
      </c>
      <c r="F66" s="10" t="inlineStr">
        <is>
          <t>API check (scripts/test-env/new-feature-checks.mjs, run by run-checks.mjs on the live demo API): submit with no documents: 409 documents_required, 3 missing; with licence and registration: 409, 1 missing.</t>
        </is>
      </c>
    </row>
    <row r="67">
      <c r="A67" s="9" t="inlineStr">
        <is>
          <t>C38</t>
        </is>
      </c>
      <c r="B67" s="10" t="inlineStr">
        <is>
          <t>Phone: sign-up (invitation or open)</t>
        </is>
      </c>
      <c r="C67" s="10" t="inlineStr">
        <is>
          <t>Admin site: look for that driver in the approvals queue and try to approve or reject by API before it was submitted</t>
        </is>
      </c>
      <c r="D67" s="10" t="inlineStr">
        <is>
          <t>Not in the queue; approve and reject answer 409 application_not_submitted; the driver cannot sign in</t>
        </is>
      </c>
      <c r="E67" s="9" t="inlineStr">
        <is>
          <t>PASS</t>
        </is>
      </c>
      <c r="F67" s="10" t="inlineStr">
        <is>
          <t>API check (scripts/test-env/new-feature-checks.mjs, run by run-checks.mjs on the live demo API): the unsubmitted driver is not in the pending queue; approve and reject both answer 409 application_not_submitted; phone sign-in is refused.</t>
        </is>
      </c>
    </row>
    <row r="68">
      <c r="A68" s="9" t="inlineStr">
        <is>
          <t>C39</t>
        </is>
      </c>
      <c r="B68" s="10" t="inlineStr">
        <is>
          <t>Phone: sign-up (invitation or open)</t>
        </is>
      </c>
      <c r="C68" s="10" t="inlineStr">
        <is>
          <t>Add the national ID, press "Send for review" (twice)</t>
        </is>
      </c>
      <c r="D68" s="10" t="inlineStr">
        <is>
          <t>Accepted ("Application under review"); a second press does nothing new; the driver is now in the admin queue with three documents</t>
        </is>
      </c>
      <c r="E68" s="9" t="inlineStr">
        <is>
          <t>PASS</t>
        </is>
      </c>
      <c r="F68" s="10" t="inlineStr">
        <is>
          <t>API check (scripts/test-env/new-feature-checks.mjs, run by run-checks.mjs on the live demo API): with the national ID added, submit returns pending_review; a second submit is idempotent; the driver appears in the admin queue with 3 documents.</t>
        </is>
      </c>
    </row>
    <row r="69">
      <c r="A69" s="9" t="inlineStr">
        <is>
          <t>D01</t>
        </is>
      </c>
      <c r="B69" s="10" t="inlineStr">
        <is>
          <t>Main story (passenger, merchant, driver)</t>
        </is>
      </c>
      <c r="C69" s="10" t="inlineStr">
        <is>
          <t>Passenger: open the seeded request and its match</t>
        </is>
      </c>
      <c r="D69" s="10" t="inlineStr">
        <is>
          <t>The request and a match result are shown</t>
        </is>
      </c>
      <c r="E69" s="9" t="inlineStr">
        <is>
          <t>PASS</t>
        </is>
      </c>
      <c r="F69" s="10" t="inlineStr">
        <is>
          <t>Emulator: the passenger home shows the seeded request PPU Main Gate -&gt; Bethlehem Center.</t>
        </is>
      </c>
    </row>
    <row r="70">
      <c r="A70" s="9" t="inlineStr">
        <is>
          <t>D02</t>
        </is>
      </c>
      <c r="B70" s="10" t="inlineStr">
        <is>
          <t>Main story (passenger, merchant, driver)</t>
        </is>
      </c>
      <c r="C70" s="10" t="inlineStr">
        <is>
          <t>Merchant: open the seeded order</t>
        </is>
      </c>
      <c r="D70" s="10" t="inlineStr">
        <is>
          <t>Five parcels and their batch are shown</t>
        </is>
      </c>
      <c r="E70" s="9" t="inlineStr">
        <is>
          <t>PASS</t>
        </is>
      </c>
      <c r="F70" s="10" t="inlineStr">
        <is>
          <t>Emulator: the merchant sees the order with five parcels and the consolidation suggestion.</t>
        </is>
      </c>
    </row>
    <row r="71">
      <c r="A71" s="9" t="inlineStr">
        <is>
          <t>D03</t>
        </is>
      </c>
      <c r="B71" s="10" t="inlineStr">
        <is>
          <t>Main story (passenger, merchant, driver)</t>
        </is>
      </c>
      <c r="C71" s="10" t="inlineStr">
        <is>
          <t>Admin: open the Matching page; if there is no match yet, run matching</t>
        </is>
      </c>
      <c r="D71" s="10" t="inlineStr">
        <is>
          <t>One combined passenger+parcel match exists, with a score breakdown</t>
        </is>
      </c>
      <c r="E71" s="9" t="inlineStr">
        <is>
          <t>PASS</t>
        </is>
      </c>
      <c r="F71" s="10" t="inlineStr">
        <is>
          <t>API: matching creates one combined match, score 93.2%, with the breakdown.</t>
        </is>
      </c>
    </row>
    <row r="72">
      <c r="A72" s="9" t="inlineStr">
        <is>
          <t>D04</t>
        </is>
      </c>
      <c r="B72" s="10" t="inlineStr">
        <is>
          <t>Main story (passenger, merchant, driver)</t>
        </is>
      </c>
      <c r="C72" s="10" t="inlineStr">
        <is>
          <t>Driver (the selected one): open the inbox</t>
        </is>
      </c>
      <c r="D72" s="10" t="inlineStr">
        <is>
          <t>The match is there; the other driver's inbox is empty</t>
        </is>
      </c>
      <c r="E72" s="9" t="inlineStr">
        <is>
          <t>PASS</t>
        </is>
      </c>
      <c r="F72" s="10" t="inlineStr">
        <is>
          <t>Emulator: the selected driver's inbox shows the match; the demo smoke suite confirms the other driver's inbox is empty.</t>
        </is>
      </c>
    </row>
    <row r="73">
      <c r="A73" s="9" t="inlineStr">
        <is>
          <t>D05</t>
        </is>
      </c>
      <c r="B73" s="10" t="inlineStr">
        <is>
          <t>Main story (passenger, merchant, driver)</t>
        </is>
      </c>
      <c r="C73" s="10" t="inlineStr">
        <is>
          <t>Driver: accept the match</t>
        </is>
      </c>
      <c r="D73" s="10" t="inlineStr">
        <is>
          <t>Exactly one trip is created</t>
        </is>
      </c>
      <c r="E73" s="9" t="inlineStr">
        <is>
          <t>PASS</t>
        </is>
      </c>
      <c r="F73" s="10" t="inlineStr">
        <is>
          <t>Emulator: accepting creates exactly one trip.</t>
        </is>
      </c>
    </row>
    <row r="74">
      <c r="A74" s="9" t="inlineStr">
        <is>
          <t>D06</t>
        </is>
      </c>
      <c r="B74" s="10" t="inlineStr">
        <is>
          <t>Main story (passenger, merchant, driver)</t>
        </is>
      </c>
      <c r="C74" s="10" t="inlineStr">
        <is>
          <t>Driver: advance pickup → picked up → in transit (and simulate points)</t>
        </is>
      </c>
      <c r="D74" s="10" t="inlineStr">
        <is>
          <t>Only the next valid action is offered each time</t>
        </is>
      </c>
      <c r="E74" s="9" t="inlineStr">
        <is>
          <t>PASS</t>
        </is>
      </c>
      <c r="F74" s="10" t="inlineStr">
        <is>
          <t>Emulator: Pickup started -&gt; Picked up -&gt; In transit -&gt; Delivered -&gt; Completed, one valid action at a time.</t>
        </is>
      </c>
    </row>
    <row r="75">
      <c r="A75" s="9" t="inlineStr">
        <is>
          <t>D07</t>
        </is>
      </c>
      <c r="B75" s="10" t="inlineStr">
        <is>
          <t>Main story (passenger, merchant, driver)</t>
        </is>
      </c>
      <c r="C75" s="10" t="inlineStr">
        <is>
          <t>Passenger and merchant: open their trip</t>
        </is>
      </c>
      <c r="D75" s="10" t="inlineStr">
        <is>
          <t>Both see the same trip and the same latest location; read-only</t>
        </is>
      </c>
      <c r="E75" s="9" t="inlineStr">
        <is>
          <t>PASS</t>
        </is>
      </c>
      <c r="F75" s="10" t="inlineStr">
        <is>
          <t>Emulator: passenger's My trips shows the completed trip and its map; the merchant's Shipments shows the order completed. Simulated location points were not stepped on the phone.</t>
        </is>
      </c>
    </row>
    <row r="76">
      <c r="A76" s="9" t="inlineStr">
        <is>
          <t>D08</t>
        </is>
      </c>
      <c r="B76" s="10" t="inlineStr">
        <is>
          <t>Main story (passenger, merchant, driver)</t>
        </is>
      </c>
      <c r="C76" s="10" t="inlineStr">
        <is>
          <t>Passenger and merchant: bell and Notifications tab</t>
        </is>
      </c>
      <c r="D76" s="10" t="inlineStr">
        <is>
          <t>A "match accepted" and "trip update" entries; tapping one clears its dot; "Mark all as read" works</t>
        </is>
      </c>
      <c r="E76" s="9" t="inlineStr">
        <is>
          <t>PASS</t>
        </is>
      </c>
      <c r="F76" s="10" t="inlineStr">
        <is>
          <t>Emulator: passenger and merchant each got 6 notifications (match accepted + 5 trip updates); 'Mark all as read' cleared them on the phone and the server.</t>
        </is>
      </c>
    </row>
    <row r="77">
      <c r="A77" s="9" t="inlineStr">
        <is>
          <t>D09</t>
        </is>
      </c>
      <c r="B77" s="10" t="inlineStr">
        <is>
          <t>Main story (passenger, merchant, driver)</t>
        </is>
      </c>
      <c r="C77" s="10" t="inlineStr">
        <is>
          <t>Driver: complete the trip</t>
        </is>
      </c>
      <c r="D77" s="10" t="inlineStr">
        <is>
          <t>Trip shows completed on all three phones and in the Admin</t>
        </is>
      </c>
      <c r="E77" s="9" t="inlineStr">
        <is>
          <t>PASS</t>
        </is>
      </c>
      <c r="F77" s="10" t="inlineStr">
        <is>
          <t>Emulator and API: trip Completed everywhere.</t>
        </is>
      </c>
    </row>
    <row r="78">
      <c r="A78" s="9" t="inlineStr">
        <is>
          <t>D10</t>
        </is>
      </c>
      <c r="B78" s="10" t="inlineStr">
        <is>
          <t>Main story (passenger, merchant, driver)</t>
        </is>
      </c>
      <c r="C78" s="10" t="inlineStr">
        <is>
          <t>Tracking wording</t>
        </is>
      </c>
      <c r="D78" s="10" t="inlineStr">
        <is>
          <t>Anywhere location appears it is described as simulated, never as live GPS</t>
        </is>
      </c>
      <c r="E78" s="9" t="inlineStr">
        <is>
          <t>PASS</t>
        </is>
      </c>
      <c r="F78" s="10" t="inlineStr">
        <is>
          <t>Emulator: screens say 'Waiting for location' / 'No location yet'; nothing claims live GPS.</t>
        </is>
      </c>
    </row>
    <row r="79">
      <c r="A79" s="9" t="inlineStr">
        <is>
          <t>E01</t>
        </is>
      </c>
      <c r="B79" s="10" t="inlineStr">
        <is>
          <t>Smaller features</t>
        </is>
      </c>
      <c r="C79" s="10" t="inlineStr">
        <is>
          <t>Driver: Earnings/performance tab</t>
        </is>
      </c>
      <c r="D79" s="10" t="inlineStr">
        <is>
          <t>Completed-trip counts shown; earnings says it is not tracked (no invented amount)</t>
        </is>
      </c>
      <c r="E79" s="9" t="inlineStr">
        <is>
          <t>PASS</t>
        </is>
      </c>
      <c r="F79" s="10" t="inlineStr">
        <is>
          <t>Emulator: Earnings tab shows trust score and completed trips; earnings says it is not tracked.</t>
        </is>
      </c>
    </row>
    <row r="80">
      <c r="A80" s="9" t="inlineStr">
        <is>
          <t>E02</t>
        </is>
      </c>
      <c r="B80" s="10" t="inlineStr">
        <is>
          <t>Smaller features</t>
        </is>
      </c>
      <c r="C80" s="10" t="inlineStr">
        <is>
          <t>Same tab, acceptance rate</t>
        </is>
      </c>
      <c r="D80" s="10" t="inlineStr">
        <is>
          <t>Under 5 answered offers it says the rate appears after 5; after accepting/rejecting 5 offers it shows a percentage and "x of y"</t>
        </is>
      </c>
      <c r="E80" s="9" t="inlineStr">
        <is>
          <t>PASS</t>
        </is>
      </c>
      <c r="F80" s="10" t="inlineStr">
        <is>
          <t>Emulator: shows 'Your rate appears after 5 answered offers (0 so far)'. The percentage itself is covered by unit tests, not seen on the phone.</t>
        </is>
      </c>
    </row>
    <row r="81">
      <c r="A81" s="9" t="inlineStr">
        <is>
          <t>E03</t>
        </is>
      </c>
      <c r="B81" s="10" t="inlineStr">
        <is>
          <t>Smaller features</t>
        </is>
      </c>
      <c r="C81" s="10" t="inlineStr">
        <is>
          <t>Driver: reject an offer and accept another (needs fresh offers: reset)</t>
        </is>
      </c>
      <c r="D81" s="10" t="inlineStr">
        <is>
          <t>The numbers in E02 move accordingly</t>
        </is>
      </c>
      <c r="E81" s="9" t="inlineStr">
        <is>
          <t>SKIP</t>
        </is>
      </c>
      <c r="F81" s="10" t="inlineStr">
        <is>
          <t>Needs five fresh offers answered on the phone; covered by unit tests only.</t>
        </is>
      </c>
    </row>
    <row r="82">
      <c r="A82" s="9" t="inlineStr">
        <is>
          <t>E04</t>
        </is>
      </c>
      <c r="B82" s="10" t="inlineStr">
        <is>
          <t>Smaller features</t>
        </is>
      </c>
      <c r="C82" s="10" t="inlineStr">
        <is>
          <t>Merchant: Reports tab</t>
        </is>
      </c>
      <c r="D82" s="10" t="inlineStr">
        <is>
          <t>Orders, parcels and deliveries by status; matches the Admin report for that merchant</t>
        </is>
      </c>
      <c r="E82" s="9" t="inlineStr">
        <is>
          <t>PASS</t>
        </is>
      </c>
      <c r="F82" s="10" t="inlineStr">
        <is>
          <t>Emulator: Merchant Reports shows 1 order, 5 parcels, 1 delivery, matching the Admin.</t>
        </is>
      </c>
    </row>
    <row r="83">
      <c r="A83" s="9" t="inlineStr">
        <is>
          <t>E05</t>
        </is>
      </c>
      <c r="B83" s="10" t="inlineStr">
        <is>
          <t>Smaller features</t>
        </is>
      </c>
      <c r="C83" s="10" t="inlineStr">
        <is>
          <t>Passenger on a trip: Report a problem → Delay → write a sentence → Send</t>
        </is>
      </c>
      <c r="D83" s="10" t="inlineStr">
        <is>
          <t>Confirmation; the sheet says it is not an emergency service</t>
        </is>
      </c>
      <c r="E83" s="9" t="inlineStr">
        <is>
          <t>PASS</t>
        </is>
      </c>
      <c r="F83" s="10" t="inlineStr">
        <is>
          <t>Emulator: Report a problem (Delay) sent; it shows in the Admin queue as open. The sheet says it is not an emergency service.</t>
        </is>
      </c>
    </row>
    <row r="84">
      <c r="A84" s="9" t="inlineStr">
        <is>
          <t>E06</t>
        </is>
      </c>
      <c r="B84" s="10" t="inlineStr">
        <is>
          <t>Smaller features</t>
        </is>
      </c>
      <c r="C84" s="10" t="inlineStr">
        <is>
          <t>Send 11 reports without any being resolved</t>
        </is>
      </c>
      <c r="D84" s="10" t="inlineStr">
        <is>
          <t>The 11th is refused with a message about too many open reports</t>
        </is>
      </c>
      <c r="E84" s="9" t="inlineStr">
        <is>
          <t>PASS</t>
        </is>
      </c>
      <c r="F84" s="10" t="inlineStr">
        <is>
          <t>API: the 11th unresolved report is refused.</t>
        </is>
      </c>
    </row>
    <row r="85">
      <c r="A85" s="9" t="inlineStr">
        <is>
          <t>E07</t>
        </is>
      </c>
      <c r="B85" s="10" t="inlineStr">
        <is>
          <t>Smaller features</t>
        </is>
      </c>
      <c r="C85" s="10" t="inlineStr">
        <is>
          <t>Admin: Incidents</t>
        </is>
      </c>
      <c r="D85" s="10" t="inlineStr">
        <is>
          <t>The report from E05 is there (see A16); after you resolve it, the passenger gets two new notifications and does not see your internal note</t>
        </is>
      </c>
      <c r="E85" s="9" t="inlineStr">
        <is>
          <t>PASS</t>
        </is>
      </c>
      <c r="F85" s="10" t="inlineStr">
        <is>
          <t>API: triage works and the reporter gets notifications. Not clicked through in the Admin browser.</t>
        </is>
      </c>
    </row>
    <row r="86">
      <c r="A86" s="9" t="inlineStr">
        <is>
          <t>E08</t>
        </is>
      </c>
      <c r="B86" s="10" t="inlineStr">
        <is>
          <t>Smaller features</t>
        </is>
      </c>
      <c r="C86" s="10" t="inlineStr">
        <is>
          <t>Driver: go online/offline</t>
        </is>
      </c>
      <c r="D86" s="10" t="inlineStr">
        <is>
          <t>The state changes once per tap and survives closing the app</t>
        </is>
      </c>
      <c r="E86" s="9" t="inlineStr">
        <is>
          <t>PASS</t>
        </is>
      </c>
      <c r="F86" s="10" t="inlineStr">
        <is>
          <t>Emulator: the Online/Offline switch changes the state on the server and back, and survives closing the app.</t>
        </is>
      </c>
    </row>
    <row r="87">
      <c r="A87" s="9" t="inlineStr">
        <is>
          <t>E09</t>
        </is>
      </c>
      <c r="B87" s="10" t="inlineStr">
        <is>
          <t>Smaller features</t>
        </is>
      </c>
      <c r="C87" s="10" t="inlineStr">
        <is>
          <t>Passenger (route entry switched on): home → Send a parcel → pick a route and stops, size S or M, receiver name and phone, tick the forbidden-items box → Send parcel</t>
        </is>
      </c>
      <c r="D87" s="10" t="inlineStr">
        <is>
          <t>Submit stays disabled until everything is filled and the box is ticked; the parcel then appears under My parcels as "Finding a driver"; the receiver's phone is shown masked</t>
        </is>
      </c>
      <c r="E87" s="9" t="inlineStr"/>
      <c r="F87" s="10" t="inlineStr">
        <is>
          <t>Not run in this pass: needs the emulator or a manual check (see the Summary sheet).</t>
        </is>
      </c>
    </row>
    <row r="88">
      <c r="A88" s="9" t="inlineStr">
        <is>
          <t>E10</t>
        </is>
      </c>
      <c r="B88" s="10" t="inlineStr">
        <is>
          <t>Smaller features</t>
        </is>
      </c>
      <c r="C88" s="10" t="inlineStr">
        <is>
          <t>Same form: try size L, a phone that is too short, or leave the box unticked</t>
        </is>
      </c>
      <c r="D88" s="10" t="inlineStr">
        <is>
          <t>Large is not offered; the others block Send parcel</t>
        </is>
      </c>
      <c r="E88" s="9" t="inlineStr"/>
      <c r="F88" s="10" t="inlineStr">
        <is>
          <t>Not run in this pass: needs the emulator or a manual check (see the Summary sheet).</t>
        </is>
      </c>
    </row>
    <row r="89">
      <c r="A89" s="9" t="inlineStr">
        <is>
          <t>E11</t>
        </is>
      </c>
      <c r="B89" s="10" t="inlineStr">
        <is>
          <t>Smaller features</t>
        </is>
      </c>
      <c r="C89" s="10" t="inlineStr">
        <is>
          <t>Passenger: create parcels until you have 3 in flight, then a 4th</t>
        </is>
      </c>
      <c r="D89" s="10" t="inlineStr">
        <is>
          <t>The 4th is refused with a message about the maximum number of parcels</t>
        </is>
      </c>
      <c r="E89" s="9" t="inlineStr"/>
      <c r="F89" s="10" t="inlineStr">
        <is>
          <t>Not run in this pass: needs the emulator or a manual check (see the Summary sheet).</t>
        </is>
      </c>
    </row>
    <row r="90">
      <c r="A90" s="9" t="inlineStr">
        <is>
          <t>E12</t>
        </is>
      </c>
      <c r="B90" s="10" t="inlineStr">
        <is>
          <t>Smaller features</t>
        </is>
      </c>
      <c r="C90" s="10" t="inlineStr">
        <is>
          <t>Passenger: cancel a parcel that is still "Finding a driver" (confirm the dialog)</t>
        </is>
      </c>
      <c r="D90" s="10" t="inlineStr">
        <is>
          <t>It becomes Cancelled and the receiver details are shown as erased; once a driver has been offered or assigned the parcel there is no Cancel button</t>
        </is>
      </c>
      <c r="E90" s="9" t="inlineStr"/>
      <c r="F90" s="10" t="inlineStr">
        <is>
          <t>Not run in this pass: needs the emulator or a manual check (see the Summary sheet).</t>
        </is>
      </c>
    </row>
    <row r="91">
      <c r="A91" s="9" t="inlineStr">
        <is>
          <t>E13</t>
        </is>
      </c>
      <c r="B91" s="10" t="inlineStr">
        <is>
          <t>Smaller features</t>
        </is>
      </c>
      <c r="C91" s="10" t="inlineStr">
        <is>
          <t>Admin: Deliveries page, "Passenger parcels" section</t>
        </is>
      </c>
      <c r="D91" s="10" t="inlineStr">
        <is>
          <t>The parcel is listed with its tracking state in English and Arabic; no receiver name, phone or note anywhere</t>
        </is>
      </c>
      <c r="E91" s="9" t="inlineStr"/>
      <c r="F91" s="10" t="inlineStr">
        <is>
          <t>Not run in this pass: needs the emulator or a manual check (see the Summary sheet).</t>
        </is>
      </c>
    </row>
    <row r="92">
      <c r="A92" s="9" t="inlineStr">
        <is>
          <t>E14</t>
        </is>
      </c>
      <c r="B92" s="10" t="inlineStr">
        <is>
          <t>Smaller features</t>
        </is>
      </c>
      <c r="C92" s="10" t="inlineStr">
        <is>
          <t>Admin → create three stops and a route, publish it (API: /admin/stops, /admin/service-routes, versions, stops, publish). Needs the route switches (the local test environment turns them on)</t>
        </is>
      </c>
      <c r="D92" s="10" t="inlineStr">
        <is>
          <t>The route appears in the public route catalogue (GET /routes)</t>
        </is>
      </c>
      <c r="E92" s="9" t="inlineStr">
        <is>
          <t>PASS</t>
        </is>
      </c>
      <c r="F92" s="10" t="inlineStr">
        <is>
          <t>API check (scripts/test-env/new-feature-checks.mjs, run by run-checks.mjs on the live demo API): stops, route, version, ordered stops and publish through the admin API; the route is in the public catalogue. The route switches (ROUTE_MANAGEMENT_ENABLED, MULTI_ROUTE_ENTRY_ENABLED) are turned on by start.ps1 for the local test environment only.</t>
        </is>
      </c>
    </row>
    <row r="93">
      <c r="A93" s="9" t="inlineStr">
        <is>
          <t>E15</t>
        </is>
      </c>
      <c r="B93" s="10" t="inlineStr">
        <is>
          <t>Smaller features</t>
        </is>
      </c>
      <c r="C93" s="10" t="inlineStr">
        <is>
          <t>Admin → the route's "Estimated fares" tab (API: PUT /admin/service-routes/:id/fares): set seat 15.00, parcel S 7.00, M 9.00 with a reason; then try amount 0, 12.5 agorot, a 2-letter reason, a passenger account, and the same fares again</t>
        </is>
      </c>
      <c r="D93" s="10" t="inlineStr">
        <is>
          <t>Saved with your name in the history; 0, fractions and a too-short reason are refused (400), a passenger is refused (403), saving unchanged fares answers 409 fare_unchanged</t>
        </is>
      </c>
      <c r="E93" s="9" t="inlineStr">
        <is>
          <t>PASS</t>
        </is>
      </c>
      <c r="F93" s="10" t="inlineStr">
        <is>
          <t>API check (scripts/test-env/new-feature-checks.mjs, run by run-checks.mjs on the live demo API): seat 15.00, parcel S 7.00, M 9.00 saved with the admin in the history; amount 0, a fraction, a 2-letter reason refused (400); passenger 403; unchanged fares 409. The Estimated fares tab was not clicked in the browser.</t>
        </is>
      </c>
    </row>
    <row r="94">
      <c r="A94" s="9" t="inlineStr">
        <is>
          <t>E16</t>
        </is>
      </c>
      <c r="B94" s="10" t="inlineStr">
        <is>
          <t>Smaller features</t>
        </is>
      </c>
      <c r="C94" s="10" t="inlineStr">
        <is>
          <t>Passenger requests 2 seats on that route (API: POST /passenger/route-requests); the Admin then raises the seat fare to 20.00; the passenger repeats the same request key, then makes a new one</t>
        </is>
      </c>
      <c r="D94" s="10" t="inlineStr">
        <is>
          <t>The route list and the request show the fare as an estimate paid directly to the driver (2 x 15.00 = 30.00); after the change the first request still says 15.00 (frozen), a new request says 20.00</t>
        </is>
      </c>
      <c r="E94" s="9" t="inlineStr">
        <is>
          <t>PASS</t>
        </is>
      </c>
      <c r="F94" s="10" t="inlineStr">
        <is>
          <t>API check (scripts/test-env/new-feature-checks.mjs, run by run-checks.mjs on the live demo API): the catalogue shows the fare as an estimate paid directly to the driver; a 2-seat request is 15.00 x 2 = 30.00; after the admin raised the fare to 20.00 the same request key still returns 15.00 / 30.00 (also stored in the database) and a new request gets 20.00.</t>
        </is>
      </c>
    </row>
    <row r="95">
      <c r="A95" s="9" t="inlineStr">
        <is>
          <t>E17</t>
        </is>
      </c>
      <c r="B95" s="10" t="inlineStr">
        <is>
          <t>Smaller features</t>
        </is>
      </c>
      <c r="C95" s="10" t="inlineStr">
        <is>
          <t>Passenger parcel (API: POST /passenger/parcels with an Idempotency-Key): size S, receiver name and phone, forbidden-items box ticked; send the same key again</t>
        </is>
      </c>
      <c r="D95" s="10" t="inlineStr">
        <is>
          <t>Created as "Finding a driver"; the receiver phone is shown masked; the second send returns the same parcel and creates no second one; a different body with the same key is refused (409)</t>
        </is>
      </c>
      <c r="E95" s="9" t="inlineStr">
        <is>
          <t>PASS</t>
        </is>
      </c>
      <c r="F95" s="10" t="inlineStr">
        <is>
          <t>API check (scripts/test-env/new-feature-checks.mjs, run by run-checks.mjs on the live demo API): limits published (3 open, S and M only); a parcel is created with a masked receiver phone; replay returns the same parcel (200, replayed) and the list has one; same key with another body is 409; a short key is 400.</t>
        </is>
      </c>
    </row>
    <row r="96">
      <c r="A96" s="9" t="inlineStr">
        <is>
          <t>E18</t>
        </is>
      </c>
      <c r="B96" s="10" t="inlineStr">
        <is>
          <t>Smaller features</t>
        </is>
      </c>
      <c r="C96" s="10" t="inlineStr">
        <is>
          <t>Same call with size L, a 3-digit phone, the box unticked or missing, a drop-off before the pickup, a 1-letter name, or an unknown field</t>
        </is>
      </c>
      <c r="D96" s="10" t="inlineStr">
        <is>
          <t>Each is refused with 400 (or a 4xx for the stops); nothing is created</t>
        </is>
      </c>
      <c r="E96" s="9" t="inlineStr">
        <is>
          <t>PASS</t>
        </is>
      </c>
      <c r="F96" s="10" t="inlineStr">
        <is>
          <t>API check (scripts/test-env/new-feature-checks.mjs, run by run-checks.mjs on the live demo API): size L, a 3-digit phone, unticked or missing acknowledgement, drop-off before pickup, a 1-letter name and an unknown field are all refused.</t>
        </is>
      </c>
    </row>
    <row r="97">
      <c r="A97" s="9" t="inlineStr">
        <is>
          <t>E19</t>
        </is>
      </c>
      <c r="B97" s="10" t="inlineStr">
        <is>
          <t>Smaller features</t>
        </is>
      </c>
      <c r="C97" s="10" t="inlineStr">
        <is>
          <t>Open that parcel as another passenger, a driver, a shop owner and signed out; then the Admin parcel list (GET /admin/passenger-parcels)</t>
        </is>
      </c>
      <c r="D97" s="10" t="inlineStr">
        <is>
          <t>Others get 404, 403 or 401; the Admin list shows the parcel but no receiver name, phone or note</t>
        </is>
      </c>
      <c r="E97" s="9" t="inlineStr">
        <is>
          <t>PASS</t>
        </is>
      </c>
      <c r="F97" s="10" t="inlineStr">
        <is>
          <t>API check (scripts/test-env/new-feature-checks.mjs, run by run-checks.mjs on the live demo API): another passenger gets 404 (read and cancel), driver and shop owner 403, anonymous 401; the admin list holds no receiver name, phone or note; a passenger cannot open the admin list.</t>
        </is>
      </c>
    </row>
    <row r="98">
      <c r="A98" s="9" t="inlineStr">
        <is>
          <t>E20</t>
        </is>
      </c>
      <c r="B98" s="10" t="inlineStr">
        <is>
          <t>Smaller features</t>
        </is>
      </c>
      <c r="C98" s="10" t="inlineStr">
        <is>
          <t>Create parcels until 3 are in flight, then a 4th</t>
        </is>
      </c>
      <c r="D98" s="10" t="inlineStr">
        <is>
          <t>The 4th is refused with 409 passenger_parcel_limit_reached</t>
        </is>
      </c>
      <c r="E98" s="9" t="inlineStr">
        <is>
          <t>PASS</t>
        </is>
      </c>
      <c r="F98" s="10" t="inlineStr">
        <is>
          <t>API check (scripts/test-env/new-feature-checks.mjs, run by run-checks.mjs on the live demo API): the 4th parcel in flight answers 409 passenger_parcel_limit_reached.</t>
        </is>
      </c>
    </row>
    <row r="99">
      <c r="A99" s="9" t="inlineStr">
        <is>
          <t>E21</t>
        </is>
      </c>
      <c r="B99" s="10" t="inlineStr">
        <is>
          <t>Smaller features</t>
        </is>
      </c>
      <c r="C99" s="10" t="inlineStr">
        <is>
          <t>Cancel a parcel that is still "Finding a driver"; cancel it again; then create a new one</t>
        </is>
      </c>
      <c r="D99" s="10" t="inlineStr">
        <is>
          <t>Cancelled, receiver name, phone and note erased; a second cancel is refused (409); the freed slot allows a new parcel</t>
        </is>
      </c>
      <c r="E99" s="9" t="inlineStr">
        <is>
          <t>PASS</t>
        </is>
      </c>
      <c r="F99" s="10" t="inlineStr">
        <is>
          <t>API check (scripts/test-env/new-feature-checks.mjs, run by run-checks.mjs on the live demo API): cancel erases receiver name, phone and note and says so; a second cancel is 409; the freed slot allows a new parcel.</t>
        </is>
      </c>
    </row>
    <row r="100">
      <c r="A100" s="9" t="inlineStr">
        <is>
          <t>E22</t>
        </is>
      </c>
      <c r="B100" s="10" t="inlineStr">
        <is>
          <t>Smaller features</t>
        </is>
      </c>
      <c r="C100" s="10" t="inlineStr">
        <is>
          <t>As the sender open the parcel's delivery code (API: GET /parcel-orders/:id/handover, POST .../handover/regenerate)</t>
        </is>
      </c>
      <c r="D100" s="10" t="inlineStr">
        <is>
          <t>The state never shows the code; "Get a new code" returns a six-digit code once; others get 404; an Admin cannot re-issue it (403)</t>
        </is>
      </c>
      <c r="E100" s="9" t="inlineStr">
        <is>
          <t>PASS</t>
        </is>
      </c>
      <c r="F100" s="10" t="inlineStr">
        <is>
          <t>API check (scripts/test-env/new-feature-checks.mjs, run by run-checks.mjs on the live demo API): state never contains the code; regenerate returns a six-digit code once and it is not readable afterwards; a stranger gets 404; an admin gets 403 on regenerate.</t>
        </is>
      </c>
    </row>
    <row r="101">
      <c r="A101" s="9" t="inlineStr">
        <is>
          <t>E23</t>
        </is>
      </c>
      <c r="B101" s="10" t="inlineStr">
        <is>
          <t>Smaller features</t>
        </is>
      </c>
      <c r="C101" s="10" t="inlineStr">
        <is>
          <t>Shop owner → bulk orders (API: POST /merchant/orders/bulk/preview): paste a CSV with 5 rows (one has size Q); also try as a passenger</t>
        </is>
      </c>
      <c r="D101" s="10" t="inlineStr">
        <is>
          <t>The preview lists the valid orders, the bad row with its row number and an Arabic message, and a batch plan; nothing is created; passengers are refused</t>
        </is>
      </c>
      <c r="E101" s="9" t="inlineStr">
        <is>
          <t>PASS</t>
        </is>
      </c>
      <c r="F101" s="10" t="inlineStr">
        <is>
          <t>API check (scripts/test-env/new-feature-checks.mjs, run by run-checks.mjs on the live demo API): passenger 403, anonymous 401; preview of 5 rows reports 3 orders and 1 bad row (row 6, row_invalid_size, Arabic message) plus a batch plan, and creates nothing.</t>
        </is>
      </c>
    </row>
    <row r="102">
      <c r="A102" s="9" t="inlineStr">
        <is>
          <t>E24</t>
        </is>
      </c>
      <c r="B102" s="10" t="inlineStr">
        <is>
          <t>Smaller features</t>
        </is>
      </c>
      <c r="C102" s="10" t="inlineStr">
        <is>
          <t>Submit the CSV without an Idempotency-Key, then with the bad row and without "skip invalid"</t>
        </is>
      </c>
      <c r="D102" s="10" t="inlineStr">
        <is>
          <t>Both are refused (400) and no order is created</t>
        </is>
      </c>
      <c r="E102" s="9" t="inlineStr">
        <is>
          <t>PASS</t>
        </is>
      </c>
      <c r="F102" s="10" t="inlineStr">
        <is>
          <t>API check (scripts/test-env/new-feature-checks.mjs, run by run-checks.mjs on the live demo API): no Idempotency-Key is 400; the file with a bad row is 400 bulk_validation_failed and creates nothing.</t>
        </is>
      </c>
    </row>
    <row r="103">
      <c r="A103" s="9" t="inlineStr">
        <is>
          <t>E25</t>
        </is>
      </c>
      <c r="B103" s="10" t="inlineStr">
        <is>
          <t>Smaller features</t>
        </is>
      </c>
      <c r="C103" s="10" t="inlineStr">
        <is>
          <t>Submit the valid rows with an Idempotency-Key, then send exactly the same upload again; then submit with "skip invalid"</t>
        </is>
      </c>
      <c r="D103" s="10" t="inlineStr">
        <is>
          <t>First: 3 orders created; the retry creates nothing (all "replayed", the same order numbers, the order list still has 3); skipping the bad row creates the valid ones and reports 1 failed</t>
        </is>
      </c>
      <c r="E103" s="9" t="inlineStr">
        <is>
          <t>PASS</t>
        </is>
      </c>
      <c r="F103" s="10" t="inlineStr">
        <is>
          <t>API check (scripts/test-env/new-feature-checks.mjs, run by run-checks.mjs on the live demo API): 3 orders created; the retry returns the same 3 order numbers as replayed (200) and the order list stays at 3; skip_invalid creates the valid ones and reports 1 failed.</t>
        </is>
      </c>
    </row>
    <row r="104">
      <c r="A104" s="9" t="inlineStr">
        <is>
          <t>E26</t>
        </is>
      </c>
      <c r="B104" s="10" t="inlineStr">
        <is>
          <t>Smaller features</t>
        </is>
      </c>
      <c r="C104" s="10" t="inlineStr">
        <is>
          <t>Preview or submit a CSV with 51 rows; then one with exactly 50</t>
        </is>
      </c>
      <c r="D104" s="10" t="inlineStr">
        <is>
          <t>51 rows: rejected as a whole with csv_too_many_rows and nothing created; 50 rows are accepted by the preview</t>
        </is>
      </c>
      <c r="E104" s="9" t="inlineStr">
        <is>
          <t>PASS</t>
        </is>
      </c>
      <c r="F104" s="10" t="inlineStr">
        <is>
          <t>API check (scripts/test-env/new-feature-checks.mjs, run by run-checks.mjs on the live demo API): 51 rows: 400 csv_too_many_rows and nothing created; exactly 50 rows are accepted by the preview.</t>
        </is>
      </c>
    </row>
    <row r="105">
      <c r="A105" s="9" t="inlineStr">
        <is>
          <t>E27</t>
        </is>
      </c>
      <c r="B105" s="10" t="inlineStr">
        <is>
          <t>Smaller features</t>
        </is>
      </c>
      <c r="C105" s="10" t="inlineStr">
        <is>
          <t>Passenger assistant with no AI key (Assistant on the passenger home): "from Bab Al-Zawiya to Bethlehem Center tomorrow at 8am with 2 seats", and the same in Arabic</t>
        </is>
      </c>
      <c r="D105" s="10" t="inlineStr">
        <is>
          <t>The rule-based fallback fills pickup, destination, time and 2 seats for review; admins and signed-out users cannot use it; an empty message is refused</t>
        </is>
      </c>
      <c r="E105" s="9" t="inlineStr">
        <is>
          <t>PASS</t>
        </is>
      </c>
      <c r="F105" s="10" t="inlineStr">
        <is>
          <t>API check (scripts/test-env/new-feature-checks.mjs, run by run-checks.mjs on the live demo API): no AI key is configured on the demo; the rule-based fallback fills pickup, destination, time and 2 seats in English and Arabic; admin and anonymous are refused; an empty message is 400. The assistant screen on the phone was not driven.</t>
        </is>
      </c>
    </row>
    <row r="106">
      <c r="A106" s="9" t="inlineStr">
        <is>
          <t>E28</t>
        </is>
      </c>
      <c r="B106" s="10" t="inlineStr">
        <is>
          <t>Smaller features</t>
        </is>
      </c>
      <c r="C106" s="10" t="inlineStr">
        <is>
          <t>Ask the assistant for a ride to Nablus (English and Arabic)</t>
        </is>
      </c>
      <c r="D106" s="10" t="inlineStr">
        <is>
          <t>A clear reply that the place is not supported yet, listing the supported places as suggestions</t>
        </is>
      </c>
      <c r="E106" s="9" t="inlineStr">
        <is>
          <t>PASS</t>
        </is>
      </c>
      <c r="F106" s="10" t="inlineStr">
        <is>
          <t>API check (scripts/test-env/new-feature-checks.mjs, run by run-checks.mjs on the live demo API): a ride to Nablus gets a clarification that the place is not supported, listing Bab Al-Zawiya and the other supported places, in English and Arabic.</t>
        </is>
      </c>
    </row>
    <row r="107">
      <c r="A107" s="9" t="inlineStr">
        <is>
          <t>E29</t>
        </is>
      </c>
      <c r="B107" s="10" t="inlineStr">
        <is>
          <t>Smaller features</t>
        </is>
      </c>
      <c r="C107" s="10" t="inlineStr">
        <is>
          <t>Send the assistant something it cannot read; then Admin → Incidents → uncertain assistant requests (API: GET /admin/ai-uncertain-requests); resolve it with a note</t>
        </is>
      </c>
      <c r="D107" s="10" t="inlineStr">
        <is>
          <t>A clear request is not queued; the unclear one is queued once with its reason and no passenger identity; resolving needs the current revision, a resolved one cannot be resolved again, and the open count drops</t>
        </is>
      </c>
      <c r="E107" s="9" t="inlineStr">
        <is>
          <t>PASS</t>
        </is>
      </c>
      <c r="F107" s="10" t="inlineStr">
        <is>
          <t>API check (scripts/test-env/new-feature-checks.mjs, run by run-checks.mjs on the live demo API): a clear request is not queued; unreadable text is queued once with a reason and no passenger identity (open count +1); stale revision 409; resolving works; resolving again 409; passenger 403. The Incidents page list was not opened in the browser.</t>
        </is>
      </c>
    </row>
    <row r="108">
      <c r="A108" s="9" t="inlineStr">
        <is>
          <t>E30</t>
        </is>
      </c>
      <c r="B108" s="10" t="inlineStr">
        <is>
          <t>Smaller features</t>
        </is>
      </c>
      <c r="C108" s="10" t="inlineStr">
        <is>
          <t>Passenger with an accepted trip: step the simulated driver (Simulate step) until it is near the pickup, then open Notifications</t>
        </is>
      </c>
      <c r="D108" s="10" t="inlineStr">
        <is>
          <t>Exactly one "your driver is approaching" notification (no coordinates in it), however many steps follow; the shop owner gets none</t>
        </is>
      </c>
      <c r="E108" s="9" t="inlineStr">
        <is>
          <t>PASS</t>
        </is>
      </c>
      <c r="F108" s="10" t="inlineStr">
        <is>
          <t>API check (scripts/test-env/new-feature-checks.mjs, run by run-checks.mjs on the live demo API): after accepting a trip and stepping the simulated driver three times the passenger has exactly one driver_approaching notification with no coordinates; the shop owner has none.</t>
        </is>
      </c>
    </row>
    <row r="109">
      <c r="A109" s="9" t="inlineStr">
        <is>
          <t>E31</t>
        </is>
      </c>
      <c r="B109" s="10" t="inlineStr">
        <is>
          <t>Smaller features</t>
        </is>
      </c>
      <c r="C109" s="10" t="inlineStr">
        <is>
          <t>Driver on an in-transit parcel trip: try Delivered with the normal status button, then confirm with no code, and try to confirm as the passenger or shop owner</t>
        </is>
      </c>
      <c r="D109" s="10" t="inlineStr">
        <is>
          <t>The status route refuses (409 delivery_confirmation_required), no code is 400, other roles 403; the trip stays in transit</t>
        </is>
      </c>
      <c r="E109" s="9" t="inlineStr">
        <is>
          <t>PASS</t>
        </is>
      </c>
      <c r="F109" s="10" t="inlineStr">
        <is>
          <t>API check (scripts/test-env/new-feature-checks.mjs, run by run-checks.mjs on the live demo API): plain Delivered is refused (409), no code 400, passenger and shop owner 403; the trip stays in transit; the trip view shows no code.</t>
        </is>
      </c>
    </row>
    <row r="110">
      <c r="A110" s="9" t="inlineStr">
        <is>
          <t>E32</t>
        </is>
      </c>
      <c r="B110" s="10" t="inlineStr">
        <is>
          <t>Smaller features</t>
        </is>
      </c>
      <c r="C110" s="10" t="inlineStr">
        <is>
          <t>Shop owner: Get a new code for the order (API: POST /parcel-orders/:id/handover/regenerate); the driver tries to read or re-issue it</t>
        </is>
      </c>
      <c r="D110" s="10" t="inlineStr">
        <is>
          <t>A six-digit code is returned once, attempts remaining 5; the driver gets 404 for both</t>
        </is>
      </c>
      <c r="E110" s="9" t="inlineStr">
        <is>
          <t>PASS</t>
        </is>
      </c>
      <c r="F110" s="10" t="inlineStr">
        <is>
          <t>API check (scripts/test-env/new-feature-checks.mjs, run by run-checks.mjs on the live demo API): the driver gets 404 on both read and re-issue; the shop owner gets a six-digit code once, attempts remaining 5.</t>
        </is>
      </c>
    </row>
    <row r="111">
      <c r="A111" s="9" t="inlineStr">
        <is>
          <t>E33</t>
        </is>
      </c>
      <c r="B111" s="10" t="inlineStr">
        <is>
          <t>Smaller features</t>
        </is>
      </c>
      <c r="C111" s="10" t="inlineStr">
        <is>
          <t>Driver enters a wrong code five times, then the right code; then the shop owner gets a new code</t>
        </is>
      </c>
      <c r="D111" s="10" t="inlineStr">
        <is>
          <t>Wrong codes are refused (422); after five, even the right code is refused (429 handover_locked) and the order shows locked; a new code unlocks it</t>
        </is>
      </c>
      <c r="E111" s="9" t="inlineStr">
        <is>
          <t>PASS</t>
        </is>
      </c>
      <c r="F111" s="10" t="inlineStr">
        <is>
          <t>API check (scripts/test-env/new-feature-checks.mjs, run by run-checks.mjs on the live demo API): five wrong codes are refused (422); the right code then answers 429 handover_locked and the order shows locked; a new code unlocks it.</t>
        </is>
      </c>
    </row>
    <row r="112">
      <c r="A112" s="9" t="inlineStr">
        <is>
          <t>E34</t>
        </is>
      </c>
      <c r="B112" s="10" t="inlineStr">
        <is>
          <t>Smaller features</t>
        </is>
      </c>
      <c r="C112" s="10" t="inlineStr">
        <is>
          <t>Driver enters the right code; the Admin opens the trip (API: GET /admin/trips/:id)</t>
        </is>
      </c>
      <c r="D112" s="10" t="inlineStr">
        <is>
          <t>The trip becomes delivered; the Admin sees it confirmed by receiver code and not flagged; the code is shown nowhere; confirming again is refused</t>
        </is>
      </c>
      <c r="E112" s="9" t="inlineStr">
        <is>
          <t>PASS</t>
        </is>
      </c>
      <c r="F112" s="10" t="inlineStr">
        <is>
          <t>API check (scripts/test-env/new-feature-checks.mjs, run by run-checks.mjs on the live demo API): the right code delivers the trip; the admin trip detail shows confirmation by receiver_code, not flagged, no code; delivering again is refused.</t>
        </is>
      </c>
    </row>
    <row r="113">
      <c r="A113" s="9" t="inlineStr">
        <is>
          <t>E35</t>
        </is>
      </c>
      <c r="B113" s="10" t="inlineStr">
        <is>
          <t>Smaller features</t>
        </is>
      </c>
      <c r="C113" s="10" t="inlineStr">
        <is>
          <t>Passenger rates the finished trip: before completion, 0 and 6 stars, then 5 stars, then again; drivers and shop owners try to rate or read it</t>
        </is>
      </c>
      <c r="D113" s="10" t="inlineStr">
        <is>
          <t>Before completion 409 trip_not_completed; 0, 6 and 4.5 are 400; 5 stars saved (201); a second rating 409 trip_already_rated; the passenger can see only their own rating; drivers get 403/404 and no driver screen or API shows a star rating</t>
        </is>
      </c>
      <c r="E113" s="9" t="inlineStr">
        <is>
          <t>PASS</t>
        </is>
      </c>
      <c r="F113" s="10" t="inlineStr">
        <is>
          <t>API check (scripts/test-env/new-feature-checks.mjs, run by run-checks.mjs on the live demo API): before completion 409 trip_not_completed; 0, 6 and 4.5 stars 400; driver and shop owner cannot rate or read; 5 stars saved (201); second rating 409 trip_already_rated; the passenger reads only their own; no driver endpoint shows a star rating.</t>
        </is>
      </c>
    </row>
    <row r="114">
      <c r="A114" s="9" t="inlineStr">
        <is>
          <t>E36</t>
        </is>
      </c>
      <c r="B114" s="10" t="inlineStr">
        <is>
          <t>Smaller features</t>
        </is>
      </c>
      <c r="C114" s="10" t="inlineStr">
        <is>
          <t>After the trip: driver trust score (Admin → user detail) and npm run trust:recompute -w @masari/api against the demo database</t>
        </is>
      </c>
      <c r="D114" s="10" t="inlineStr">
        <is>
          <t>A whole number from 0 to 100 with its breakdown and calculation time; the Admin sees the same number; the job reports 0 failed and gives the same score when run again</t>
        </is>
      </c>
      <c r="E114" s="9" t="inlineStr">
        <is>
          <t>PASS</t>
        </is>
      </c>
      <c r="F114" s="10" t="inlineStr">
        <is>
          <t>API check (scripts/test-env/new-feature-checks.mjs, run by run-checks.mjs on the live demo API): after the trip the driver has a whole score 0-100 with a calculation time and a breakdown; the admin user detail shows the same score; npm run trust:recompute -w @masari/api against masari_demo reports 0 failed and leaves the score unchanged; run twice.</t>
        </is>
      </c>
    </row>
    <row r="115">
      <c r="A115" s="9" t="inlineStr">
        <is>
          <t>E37</t>
        </is>
      </c>
      <c r="B115" s="10" t="inlineStr">
        <is>
          <t>Smaller features</t>
        </is>
      </c>
      <c r="C115" s="10" t="inlineStr">
        <is>
          <t>Second trip: the driver chooses "Receiver unavailable" with no reason, a 9-character reason, a 301-character reason, then a proper reason</t>
        </is>
      </c>
      <c r="D115" s="10" t="inlineStr">
        <is>
          <t>The first three are refused (400); the proper one delivers the trip, the Admin trip list and detail show it flagged with the reason, and the sender sees how it was confirmed</t>
        </is>
      </c>
      <c r="E115" s="9" t="inlineStr">
        <is>
          <t>PASS</t>
        </is>
      </c>
      <c r="F115" s="10" t="inlineStr">
        <is>
          <t>API check (scripts/test-env/new-feature-checks.mjs, run by run-checks.mjs on the live demo API): no reason, a 9-character and a 301-character reason are 400; a proper reason delivers the trip; the admin list and detail show it flagged with the reason; the sender sees receiver_unavailable and the reason.</t>
        </is>
      </c>
    </row>
    <row r="116">
      <c r="A116" s="9" t="inlineStr">
        <is>
          <t>E38</t>
        </is>
      </c>
      <c r="B116" s="10" t="inlineStr">
        <is>
          <t>Smaller features</t>
        </is>
      </c>
      <c r="C116" s="10" t="inlineStr">
        <is>
          <t>Admin approves a new driver with document dates (API: expiry on approve): try a licence date in the past, then valid dates</t>
        </is>
      </c>
      <c r="D116" s="10" t="inlineStr">
        <is>
          <t>A past date is refused (400 expiry_date_in_past); valid dates are saved and the driver appears under "Expiring soon" (within 30 days); a driver cannot read that list</t>
        </is>
      </c>
      <c r="E116" s="9" t="inlineStr">
        <is>
          <t>PASS</t>
        </is>
      </c>
      <c r="F116" s="10" t="inlineStr">
        <is>
          <t>API check (scripts/test-env/new-feature-checks.mjs, run by run-checks.mjs on the live demo API): a past date is 400 expiry_date_in_past; valid dates are stored and the driver is in the expiring-soon list; a driver cannot read it.</t>
        </is>
      </c>
    </row>
    <row r="117">
      <c r="A117" s="9" t="inlineStr">
        <is>
          <t>E39</t>
        </is>
      </c>
      <c r="B117" s="10" t="inlineStr">
        <is>
          <t>Smaller features</t>
        </is>
      </c>
      <c r="C117" s="10" t="inlineStr">
        <is>
          <t>Run the expiry job (npm run documents:expiry -w @masari/api) with the licence ending in 5 days, twice</t>
        </is>
      </c>
      <c r="D117" s="10" t="inlineStr">
        <is>
          <t>The driver gets one "document expires soon" reminder; the second run adds none; the driver is still approved</t>
        </is>
      </c>
      <c r="E117" s="9" t="inlineStr">
        <is>
          <t>PASS</t>
        </is>
      </c>
      <c r="F117" s="10" t="inlineStr">
        <is>
          <t>API check (scripts/test-env/new-feature-checks.mjs, run by run-checks.mjs on the live demo API): the expiry job (npm run documents:expiry) sent exactly one reminder for a licence ending in 5 days and none on the second run; the driver stayed approved.</t>
        </is>
      </c>
    </row>
    <row r="118">
      <c r="A118" s="9" t="inlineStr">
        <is>
          <t>E40</t>
        </is>
      </c>
      <c r="B118" s="10" t="inlineStr">
        <is>
          <t>Smaller features</t>
        </is>
      </c>
      <c r="C118" s="10" t="inlineStr">
        <is>
          <t>Set the licence date to yesterday (database edit on masari_demo) and run the job again; then try to go online</t>
        </is>
      </c>
      <c r="D118" s="10" t="inlineStr">
        <is>
          <t>The driver becomes "documents expired", is unverified, gets a notification, and going online is refused with 403 driver_documents_expired; a second run restricts nobody twice; the driver still signs in; the Admin sees the driver under "Awaiting driver"</t>
        </is>
      </c>
      <c r="E118" s="9" t="inlineStr">
        <is>
          <t>PASS</t>
        </is>
      </c>
      <c r="F118" s="10" t="inlineStr">
        <is>
          <t>API check (scripts/test-env/new-feature-checks.mjs, run by run-checks.mjs on the live demo API): with the licence date set to yesterday in masari_demo the job restricts the driver (documents_expired, unverified, notification); going online is 403 driver_documents_expired; a second run restricts nobody twice; the driver keeps a session; the re-review queue lists them as awaiting the driver.</t>
        </is>
      </c>
    </row>
    <row r="119">
      <c r="A119" s="9" t="inlineStr">
        <is>
          <t>E41</t>
        </is>
      </c>
      <c r="B119" s="10" t="inlineStr">
        <is>
          <t>Smaller features</t>
        </is>
      </c>
      <c r="C119" s="10" t="inlineStr">
        <is>
          <t>Driver renewal (API: /driver/document-renewal): submit with no file, upload a text file, upload a photo, submit</t>
        </is>
      </c>
      <c r="D119" s="10" t="inlineStr">
        <is>
          <t>No file: 409; text file: 415; with a photo the application goes to the Admin re-review queue; going online is still refused; passengers cannot use the renewal area</t>
        </is>
      </c>
      <c r="E119" s="9" t="inlineStr">
        <is>
          <t>PASS</t>
        </is>
      </c>
      <c r="F119" s="10" t="inlineStr">
        <is>
          <t>API check (scripts/test-env/new-feature-checks.mjs, run by run-checks.mjs on the live demo API): submit with no file 409; a text file 415; with a photo it reaches the admin re-review queue; going online is still refused; a passenger cannot use the renewal area. The in-app renewal screen is not built yet (API only, as documented).</t>
        </is>
      </c>
    </row>
    <row r="120">
      <c r="A120" s="9" t="inlineStr">
        <is>
          <t>E42</t>
        </is>
      </c>
      <c r="B120" s="10" t="inlineStr">
        <is>
          <t>Smaller features</t>
        </is>
      </c>
      <c r="C120" s="10" t="inlineStr">
        <is>
          <t>Admin approves the renewal: first without new dates, then with a new licence date</t>
        </is>
      </c>
      <c r="D120" s="10" t="inlineStr">
        <is>
          <t>Without new dates it is refused (400); with a new date the driver is approved and verified again at once, the history shows expired and renewal submitted, going online is no longer refused for documents, and the job does not restrict them again</t>
        </is>
      </c>
      <c r="E120" s="9" t="inlineStr">
        <is>
          <t>PASS</t>
        </is>
      </c>
      <c r="F120" s="10" t="inlineStr">
        <is>
          <t>API check (scripts/test-env/new-feature-checks.mjs, run by run-checks.mjs on the live demo API): approval without new dates is refused (400); with a new licence date the driver is approved and verified at once, the history shows expired and renewal submitted, going online is no longer refused for documents, and the job does not restrict them again.</t>
        </is>
      </c>
    </row>
    <row r="121">
      <c r="A121" s="9" t="inlineStr">
        <is>
          <t>F01</t>
        </is>
      </c>
      <c r="B121" s="10" t="inlineStr">
        <is>
          <t>Must NOT work (safety)</t>
        </is>
      </c>
      <c r="C121" s="10" t="inlineStr">
        <is>
          <t>Admin site: sign in as a passenger (using a passenger's email and password)</t>
        </is>
      </c>
      <c r="D121" s="10" t="inlineStr">
        <is>
          <t>Refused</t>
        </is>
      </c>
      <c r="E121" s="9" t="inlineStr">
        <is>
          <t>PASS</t>
        </is>
      </c>
      <c r="F121" s="10" t="inlineStr">
        <is>
          <t>API: a passenger cannot use the Admin sign-in; an Admin cannot sign in by phone.</t>
        </is>
      </c>
    </row>
    <row r="122">
      <c r="A122" s="9" t="inlineStr">
        <is>
          <t>F02</t>
        </is>
      </c>
      <c r="B122" s="10" t="inlineStr">
        <is>
          <t>Must NOT work (safety)</t>
        </is>
      </c>
      <c r="C122" s="10" t="inlineStr">
        <is>
          <t>A pending merchant or driver signs in on the phone</t>
        </is>
      </c>
      <c r="D122" s="10" t="inlineStr">
        <is>
          <t>Refused with a clear message</t>
        </is>
      </c>
      <c r="E122" s="9" t="inlineStr">
        <is>
          <t>PASS</t>
        </is>
      </c>
      <c r="F122" s="10" t="inlineStr">
        <is>
          <t>API and emulator: pending merchant and driver cannot sign in.</t>
        </is>
      </c>
    </row>
    <row r="123">
      <c r="A123" s="9" t="inlineStr">
        <is>
          <t>F03</t>
        </is>
      </c>
      <c r="B123" s="10" t="inlineStr">
        <is>
          <t>Must NOT work (safety)</t>
        </is>
      </c>
      <c r="C123" s="10" t="inlineStr">
        <is>
          <t>After the Admin rejects a driver with a reason, sign in as that driver</t>
        </is>
      </c>
      <c r="D123" s="10" t="inlineStr">
        <is>
          <t>Refused</t>
        </is>
      </c>
      <c r="E123" s="9" t="inlineStr">
        <is>
          <t>PASS</t>
        </is>
      </c>
      <c r="F123" s="10" t="inlineStr">
        <is>
          <t>API: rejected driver and disabled merchant cannot sign in.</t>
        </is>
      </c>
    </row>
    <row r="124">
      <c r="A124" s="9" t="inlineStr">
        <is>
          <t>F04</t>
        </is>
      </c>
      <c r="B124" s="10" t="inlineStr">
        <is>
          <t>Must NOT work (safety)</t>
        </is>
      </c>
      <c r="C124" s="10" t="inlineStr">
        <is>
          <t>As a passenger, try to open driver or merchant screens (via the menu only; no URL tricks)</t>
        </is>
      </c>
      <c r="D124" s="10" t="inlineStr">
        <is>
          <t>Not reachable</t>
        </is>
      </c>
      <c r="E124" s="9" t="inlineStr">
        <is>
          <t>PASS</t>
        </is>
      </c>
      <c r="F124" s="10" t="inlineStr">
        <is>
          <t>API: other roles' endpoints return 403; the app shows each role only its own menu.</t>
        </is>
      </c>
    </row>
    <row r="125">
      <c r="A125" s="9" t="inlineStr">
        <is>
          <t>F05</t>
        </is>
      </c>
      <c r="B125" s="10" t="inlineStr">
        <is>
          <t>Must NOT work (safety)</t>
        </is>
      </c>
      <c r="C125" s="10" t="inlineStr">
        <is>
          <t>Admin downloads a driver document, then the applicant is approved: can the applicant still upload?</t>
        </is>
      </c>
      <c r="D125" s="10" t="inlineStr">
        <is>
          <t>No: uploading is closed once a decision is made</t>
        </is>
      </c>
      <c r="E125" s="9" t="inlineStr">
        <is>
          <t>PASS</t>
        </is>
      </c>
      <c r="F125" s="10" t="inlineStr">
        <is>
          <t>API: once approved or rejected, uploads are refused.</t>
        </is>
      </c>
    </row>
    <row r="126">
      <c r="A126" s="9" t="inlineStr">
        <is>
          <t>F06</t>
        </is>
      </c>
      <c r="B126" s="10" t="inlineStr">
        <is>
          <t>Must NOT work (safety)</t>
        </is>
      </c>
      <c r="C126" s="10" t="inlineStr">
        <is>
          <t>Look through every screen for the words "push notification", "emergency", "live GPS", "payment", "earnings" used as if they work</t>
        </is>
      </c>
      <c r="D126" s="10" t="inlineStr">
        <is>
          <t>None claim a feature that is not built</t>
        </is>
      </c>
      <c r="E126" s="9" t="inlineStr">
        <is>
          <t>PASS</t>
        </is>
      </c>
      <c r="F126" s="10" t="inlineStr">
        <is>
          <t>Spot check of the screens: no claim of push, live GPS, payments or emergency response; earnings say not tracked.</t>
        </is>
      </c>
    </row>
    <row r="127">
      <c r="A127" s="9" t="inlineStr">
        <is>
          <t>F07</t>
        </is>
      </c>
      <c r="B127" s="10" t="inlineStr">
        <is>
          <t>Must NOT work (safety)</t>
        </is>
      </c>
      <c r="C127" s="10" t="inlineStr">
        <is>
          <t>With the open-registration switch off (OPEN_DRIVER_MERCHANT_SIGNUP_ENABLED=false, the default everywhere except the local test environment), choose Driver and leave the invitation code empty</t>
        </is>
      </c>
      <c r="D127" s="10" t="inlineStr">
        <is>
          <t>The code field is required; sending without one is refused and no code is produced</t>
        </is>
      </c>
      <c r="E127" s="9" t="inlineStr"/>
      <c r="F127" s="10" t="inlineStr">
        <is>
          <t>Not run in this pass: needs the emulator or a manual check (see the Summary sheet).</t>
        </is>
      </c>
    </row>
    <row r="128">
      <c r="A128" s="9" t="inlineStr">
        <is>
          <t>F08</t>
        </is>
      </c>
      <c r="B128" s="10" t="inlineStr">
        <is>
          <t>Must NOT work (safety)</t>
        </is>
      </c>
      <c r="C128" s="10" t="inlineStr">
        <is>
          <t>Call POST /api/v1/onboarding/application/submit with a pending driver or shop owner session that is missing a required document (any HTTP client)</t>
        </is>
      </c>
      <c r="D128" s="10" t="inlineStr">
        <is>
          <t>409 documents_required, listing what is missing; the application is not submitted</t>
        </is>
      </c>
      <c r="E128" s="9" t="inlineStr">
        <is>
          <t>PASS</t>
        </is>
      </c>
      <c r="F128" s="10" t="inlineStr">
        <is>
          <t>API check (scripts/test-env/new-feature-checks.mjs, run by run-checks.mjs on the live demo API): submit with missing required documents answers 409 documents_required with the missing list, and nothing is submitted.</t>
        </is>
      </c>
    </row>
    <row r="129">
      <c r="A129" s="9" t="inlineStr">
        <is>
          <t>F09</t>
        </is>
      </c>
      <c r="B129" s="10" t="inlineStr">
        <is>
          <t>Must NOT work (safety)</t>
        </is>
      </c>
      <c r="C129" s="10" t="inlineStr">
        <is>
          <t>Passenger role without an invitation code, even with the switch on</t>
        </is>
      </c>
      <c r="D129" s="10" t="inlineStr">
        <is>
          <t>Refused; passengers always register by email or Google</t>
        </is>
      </c>
      <c r="E129" s="9" t="inlineStr">
        <is>
          <t>PASS</t>
        </is>
      </c>
      <c r="F129" s="10" t="inlineStr">
        <is>
          <t>API check (scripts/test-env/new-feature-checks.mjs, run by run-checks.mjs on the live demo API): a passenger sign-up attempt without an invitation code is refused (4xx) even though open registration is on.</t>
        </is>
      </c>
    </row>
    <row r="130">
      <c r="A130" s="9" t="inlineStr">
        <is>
          <t>F10</t>
        </is>
      </c>
      <c r="B130" s="10" t="inlineStr">
        <is>
          <t>Must NOT work (safety)</t>
        </is>
      </c>
      <c r="C130" s="10" t="inlineStr">
        <is>
          <t>A submitted driver deletes the only file of a required kind</t>
        </is>
      </c>
      <c r="D130" s="10" t="inlineStr">
        <is>
          <t>Refused (documents_required); replacing it by adding a second file first works</t>
        </is>
      </c>
      <c r="E130" s="9" t="inlineStr">
        <is>
          <t>PASS</t>
        </is>
      </c>
      <c r="F130" s="10" t="inlineStr">
        <is>
          <t>API (run-checks C04): deleting the only file of a required kind from a submitted application is refused (409).</t>
        </is>
      </c>
    </row>
  </sheetData>
  <autoFilter ref="A1:F130"/>
  <conditionalFormatting sqref="E2:E130">
    <cfRule type="cellIs" priority="1" operator="equal" dxfId="0">
      <formula>"PASS"</formula>
    </cfRule>
    <cfRule type="cellIs" priority="2" operator="equal" dxfId="1">
      <formula>"FAIL"</formula>
    </cfRule>
    <cfRule type="cellIs" priority="3" operator="equal" dxfId="2">
      <formula>"SKIP"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2026-10-29T09:35:20Z</dcterms:created>
  <dcterms:modified xsi:type="dcterms:W3CDTF">2026-10-29T09:35:21Z</dcterms:modified>
</cp:coreProperties>
</file>