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sults" sheetId="2" state="visible" r:id="rId2"/>
  </sheets>
  <definedNames>
    <definedName name="_xlnm._FilterDatabase" localSheetId="1" hidden="1">'Results'!$A$1:$F$68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3A2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2" fillId="2" borderId="0" pivotButton="0" quotePrefix="0" xfId="0"/>
    <xf numFmtId="0" fontId="0" fillId="2" borderId="0" pivotButton="0" quotePrefix="0" xfId="0"/>
    <xf numFmtId="0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name val="Arial"/>
        <b val="1"/>
        <color rgb="00006100"/>
      </font>
      <fill>
        <patternFill patternType="solid">
          <fgColor rgb="00C6EFCE"/>
          <bgColor rgb="00C6EFCE"/>
        </patternFill>
      </fill>
    </dxf>
    <dxf>
      <font>
        <name val="Arial"/>
        <b val="1"/>
        <color rgb="009C0006"/>
      </font>
      <fill>
        <patternFill patternType="solid">
          <fgColor rgb="00FFC7CE"/>
          <bgColor rgb="00FFC7CE"/>
        </patternFill>
      </fill>
    </dxf>
    <dxf>
      <font>
        <name val="Arial"/>
        <b val="1"/>
        <color rgb="00595959"/>
      </font>
      <fill>
        <patternFill patternType="solid">
          <fgColor rgb="00E7E6E6"/>
          <bgColor rgb="00E7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</cols>
  <sheetData>
    <row r="1">
      <c r="A1" s="1" t="inlineStr">
        <is>
          <t>Masari test results - 28 Oct 2026 (run by Claude, not by you)</t>
        </is>
      </c>
    </row>
    <row r="3">
      <c r="A3" s="2" t="inlineStr">
        <is>
          <t>Area</t>
        </is>
      </c>
      <c r="B3" s="2" t="inlineStr">
        <is>
          <t>Tests</t>
        </is>
      </c>
      <c r="C3" s="2" t="inlineStr">
        <is>
          <t>PASS</t>
        </is>
      </c>
      <c r="D3" s="2" t="inlineStr">
        <is>
          <t>FAIL</t>
        </is>
      </c>
      <c r="E3" s="2" t="inlineStr">
        <is>
          <t>SKIP</t>
        </is>
      </c>
      <c r="F3" s="2" t="inlineStr">
        <is>
          <t>Not done</t>
        </is>
      </c>
    </row>
    <row r="4">
      <c r="A4" s="3" t="inlineStr">
        <is>
          <t>Admin site</t>
        </is>
      </c>
      <c r="B4" s="3">
        <f>COUNTIF(Results!$A$2:$A$68,"A*")</f>
        <v/>
      </c>
      <c r="C4" s="3">
        <f>COUNTIFS(Results!$A$2:$A$68,"A*",Results!$E$2:$E$68,"PASS")</f>
        <v/>
      </c>
      <c r="D4" s="3">
        <f>COUNTIFS(Results!$A$2:$A$68,"A*",Results!$E$2:$E$68,"FAIL")</f>
        <v/>
      </c>
      <c r="E4" s="3">
        <f>COUNTIFS(Results!$A$2:$A$68,"A*",Results!$E$2:$E$68,"SKIP")</f>
        <v/>
      </c>
      <c r="F4" s="3">
        <f>B4-C4-D4-E4</f>
        <v/>
      </c>
    </row>
    <row r="5">
      <c r="A5" s="3" t="inlineStr">
        <is>
          <t>Phone: signing in</t>
        </is>
      </c>
      <c r="B5" s="3">
        <f>COUNTIF(Results!$A$2:$A$68,"B*")</f>
        <v/>
      </c>
      <c r="C5" s="3">
        <f>COUNTIFS(Results!$A$2:$A$68,"B*",Results!$E$2:$E$68,"PASS")</f>
        <v/>
      </c>
      <c r="D5" s="3">
        <f>COUNTIFS(Results!$A$2:$A$68,"B*",Results!$E$2:$E$68,"FAIL")</f>
        <v/>
      </c>
      <c r="E5" s="3">
        <f>COUNTIFS(Results!$A$2:$A$68,"B*",Results!$E$2:$E$68,"SKIP")</f>
        <v/>
      </c>
      <c r="F5" s="3">
        <f>B5-C5-D5-E5</f>
        <v/>
      </c>
    </row>
    <row r="6">
      <c r="A6" s="3" t="inlineStr">
        <is>
          <t>Phone: sign-up with invitation</t>
        </is>
      </c>
      <c r="B6" s="3">
        <f>COUNTIF(Results!$A$2:$A$68,"C*")</f>
        <v/>
      </c>
      <c r="C6" s="3">
        <f>COUNTIFS(Results!$A$2:$A$68,"C*",Results!$E$2:$E$68,"PASS")</f>
        <v/>
      </c>
      <c r="D6" s="3">
        <f>COUNTIFS(Results!$A$2:$A$68,"C*",Results!$E$2:$E$68,"FAIL")</f>
        <v/>
      </c>
      <c r="E6" s="3">
        <f>COUNTIFS(Results!$A$2:$A$68,"C*",Results!$E$2:$E$68,"SKIP")</f>
        <v/>
      </c>
      <c r="F6" s="3">
        <f>B6-C6-D6-E6</f>
        <v/>
      </c>
    </row>
    <row r="7">
      <c r="A7" s="3" t="inlineStr">
        <is>
          <t>Main story (passenger, merchant, driver)</t>
        </is>
      </c>
      <c r="B7" s="3">
        <f>COUNTIF(Results!$A$2:$A$68,"D*")</f>
        <v/>
      </c>
      <c r="C7" s="3">
        <f>COUNTIFS(Results!$A$2:$A$68,"D*",Results!$E$2:$E$68,"PASS")</f>
        <v/>
      </c>
      <c r="D7" s="3">
        <f>COUNTIFS(Results!$A$2:$A$68,"D*",Results!$E$2:$E$68,"FAIL")</f>
        <v/>
      </c>
      <c r="E7" s="3">
        <f>COUNTIFS(Results!$A$2:$A$68,"D*",Results!$E$2:$E$68,"SKIP")</f>
        <v/>
      </c>
      <c r="F7" s="3">
        <f>B7-C7-D7-E7</f>
        <v/>
      </c>
    </row>
    <row r="8">
      <c r="A8" s="3" t="inlineStr">
        <is>
          <t>Smaller features</t>
        </is>
      </c>
      <c r="B8" s="3">
        <f>COUNTIF(Results!$A$2:$A$68,"E*")</f>
        <v/>
      </c>
      <c r="C8" s="3">
        <f>COUNTIFS(Results!$A$2:$A$68,"E*",Results!$E$2:$E$68,"PASS")</f>
        <v/>
      </c>
      <c r="D8" s="3">
        <f>COUNTIFS(Results!$A$2:$A$68,"E*",Results!$E$2:$E$68,"FAIL")</f>
        <v/>
      </c>
      <c r="E8" s="3">
        <f>COUNTIFS(Results!$A$2:$A$68,"E*",Results!$E$2:$E$68,"SKIP")</f>
        <v/>
      </c>
      <c r="F8" s="3">
        <f>B8-C8-D8-E8</f>
        <v/>
      </c>
    </row>
    <row r="9">
      <c r="A9" s="3" t="inlineStr">
        <is>
          <t>Must NOT work (safety)</t>
        </is>
      </c>
      <c r="B9" s="3">
        <f>COUNTIF(Results!$A$2:$A$68,"F*")</f>
        <v/>
      </c>
      <c r="C9" s="3">
        <f>COUNTIFS(Results!$A$2:$A$68,"F*",Results!$E$2:$E$68,"PASS")</f>
        <v/>
      </c>
      <c r="D9" s="3">
        <f>COUNTIFS(Results!$A$2:$A$68,"F*",Results!$E$2:$E$68,"FAIL")</f>
        <v/>
      </c>
      <c r="E9" s="3">
        <f>COUNTIFS(Results!$A$2:$A$68,"F*",Results!$E$2:$E$68,"SKIP")</f>
        <v/>
      </c>
      <c r="F9" s="3">
        <f>B9-C9-D9-E9</f>
        <v/>
      </c>
    </row>
    <row r="10">
      <c r="A10" s="4" t="inlineStr">
        <is>
          <t>Total</t>
        </is>
      </c>
      <c r="B10" s="4">
        <f>SUM(B4:B9)</f>
        <v/>
      </c>
      <c r="C10" s="4">
        <f>SUM(C4:C9)</f>
        <v/>
      </c>
      <c r="D10" s="4">
        <f>SUM(D4:D9)</f>
        <v/>
      </c>
      <c r="E10" s="4">
        <f>SUM(E4:E9)</f>
        <v/>
      </c>
      <c r="F10" s="4">
        <f>SUM(F4:F9)</f>
        <v/>
      </c>
    </row>
    <row r="12">
      <c r="A12" s="5" t="inlineStr">
        <is>
          <t>HOW IT WAS TESTED</t>
        </is>
      </c>
      <c r="B12" s="6" t="n"/>
      <c r="C12" s="6" t="n"/>
      <c r="D12" s="6" t="n"/>
      <c r="E12" s="6" t="n"/>
      <c r="F12" s="6" t="n"/>
    </row>
    <row r="13" ht="60" customHeight="1">
      <c r="A13" s="7" t="inlineStr">
        <is>
          <t>Automated API suite</t>
        </is>
      </c>
      <c r="B13" s="8" t="inlineStr">
        <is>
          <t>30 of 30 checks passed, re-run after the registration change (roles, approvals, sign-up with driver and shop-owner documents, safety rules, and the existing story/feature smoke suites).</t>
        </is>
      </c>
    </row>
    <row r="14" ht="45" customHeight="1">
      <c r="A14" s="7" t="inlineStr">
        <is>
          <t>Admin site in a real browser</t>
        </is>
      </c>
      <c r="B14" s="8" t="inlineStr">
        <is>
          <t>22 of 22 checks passed (sign-in, language switch, all 11 pages, search, driver review, evidence form, CSV exports, sign-out, phone width).</t>
        </is>
      </c>
    </row>
    <row r="15" ht="75" customHeight="1">
      <c r="A15" s="7" t="inlineStr">
        <is>
          <t>Android emulator, by hand-driven script</t>
        </is>
      </c>
      <c r="B15" s="8" t="inlineStr">
        <is>
          <t>Sign-in for every role, all three invited sign-ups, document upload through the file picker, the full trip from accept to completed, notifications, report a problem, offline message, Arabic home, restart, online/offline switch.</t>
        </is>
      </c>
    </row>
    <row r="16" ht="30" customHeight="1">
      <c r="A16" s="7" t="inlineStr">
        <is>
          <t>Unit tests</t>
        </is>
      </c>
      <c r="B16" s="8" t="inlineStr">
        <is>
          <t>API 854, Admin 380, tooling 76 (2 skipped), app 634 - all passing.</t>
        </is>
      </c>
    </row>
    <row r="17" ht="60" customHeight="1">
      <c r="A17" s="7" t="inlineStr">
        <is>
          <t>Re-test after the registration change</t>
        </is>
      </c>
      <c r="B17" s="8" t="inlineStr">
        <is>
          <t>Only the sign-up rows (C01, C03, C13, C16, C17) and the Arabic sign-up screens were re-run on the emulator. The other emulator rows are from the 28 Oct run, before the change.</t>
        </is>
      </c>
    </row>
    <row r="19">
      <c r="A19" s="5" t="inlineStr">
        <is>
          <t>PROBLEMS FOUND AND FIXED</t>
        </is>
      </c>
      <c r="B19" s="6" t="n"/>
      <c r="C19" s="6" t="n"/>
      <c r="D19" s="6" t="n"/>
      <c r="E19" s="6" t="n"/>
      <c r="F19" s="6" t="n"/>
    </row>
    <row r="20" ht="75" customHeight="1">
      <c r="A20" s="7" t="inlineStr">
        <is>
          <t>1. New accounts could never sign in</t>
        </is>
      </c>
      <c r="B20" s="8" t="inlineStr">
        <is>
          <t>Accounts created from an invitation have a phone number but no email, and sign-in only took an email. Now a verified phone number works (never for Admin accounts). Fixed in the API and the app's sign-in field.</t>
        </is>
      </c>
    </row>
    <row r="21" ht="45" customHeight="1">
      <c r="A21" s="7" t="inlineStr">
        <is>
          <t>2. The trip map was blank (grey) until touched</t>
        </is>
      </c>
      <c r="B21" s="8" t="inlineStr">
        <is>
          <t>Probably the map problem you noticed. The map never requested its tiles for the route view. Fixed; verified with a request log.</t>
        </is>
      </c>
    </row>
    <row r="22" ht="75" customHeight="1">
      <c r="A22" s="7" t="inlineStr">
        <is>
          <t>3. Sign-up changed</t>
        </is>
      </c>
      <c r="B22" s="8" t="inlineStr">
        <is>
          <t>Create account now asks Normal user / Driver / Shop owner first. Shop owners upload their papers; every pending screen says review takes up to 24 hours. A passenger no longer signs up with an invitation code in the app.</t>
        </is>
      </c>
    </row>
    <row r="23" ht="60" customHeight="1">
      <c r="A23" s="7" t="inlineStr">
        <is>
          <t>4. Small polish</t>
        </is>
      </c>
      <c r="B23" s="8" t="inlineStr">
        <is>
          <t>Arabic words on the English trip screen translated; zoom buttons no longer sit under the top buttons; the Admin site's missing browser icon added; the demo reset-key box now holds the real key.</t>
        </is>
      </c>
    </row>
    <row r="25">
      <c r="A25" s="5" t="inlineStr">
        <is>
          <t>NOT TESTED BY ME</t>
        </is>
      </c>
      <c r="B25" s="6" t="n"/>
      <c r="C25" s="6" t="n"/>
      <c r="D25" s="6" t="n"/>
      <c r="E25" s="6" t="n"/>
      <c r="F25" s="6" t="n"/>
    </row>
    <row r="26" ht="165" customHeight="1">
      <c r="A26" s="7" t="inlineStr"/>
      <c r="B26" s="8" t="inlineStr">
        <is>
          <t>A real phone (only the emulator); Arabic on every screen (checked sign-in, the role chooser, the invitation and pending screens, and the three role homes; no stray English found apart from names and the demo consent text); the percentage display of the acceptance rate; simulated tracking steps on the phone; opening the CSV files in Excel; clicking Admin triage, Download and the shop-owner Approve card in the browser; a normal user completing the email sign-up (needs a real email code); anything on a real server or real SMS.</t>
        </is>
      </c>
    </row>
  </sheetData>
  <mergeCells count="10">
    <mergeCell ref="B21:F21"/>
    <mergeCell ref="B26:F26"/>
    <mergeCell ref="B16:F16"/>
    <mergeCell ref="B20:F20"/>
    <mergeCell ref="B15:F15"/>
    <mergeCell ref="B23:F23"/>
    <mergeCell ref="B22:F22"/>
    <mergeCell ref="B14:F14"/>
    <mergeCell ref="B17:F17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2" customWidth="1" min="2" max="2"/>
    <col width="52" customWidth="1" min="3" max="3"/>
    <col width="46" customWidth="1" min="4" max="4"/>
    <col width="9" customWidth="1" min="5" max="5"/>
    <col width="62" customWidth="1" min="6" max="6"/>
  </cols>
  <sheetData>
    <row r="1">
      <c r="A1" s="2" t="inlineStr">
        <is>
          <t>ID</t>
        </is>
      </c>
      <c r="B1" s="2" t="inlineStr">
        <is>
          <t>Area</t>
        </is>
      </c>
      <c r="C1" s="2" t="inlineStr">
        <is>
          <t>What to do</t>
        </is>
      </c>
      <c r="D1" s="2" t="inlineStr">
        <is>
          <t>What you should see</t>
        </is>
      </c>
      <c r="E1" s="2" t="inlineStr">
        <is>
          <t>Result</t>
        </is>
      </c>
      <c r="F1" s="2" t="inlineStr">
        <is>
          <t>Evidence / notes</t>
        </is>
      </c>
    </row>
    <row r="2">
      <c r="A2" s="9" t="inlineStr">
        <is>
          <t>A01</t>
        </is>
      </c>
      <c r="B2" s="10" t="inlineStr">
        <is>
          <t>Admin site</t>
        </is>
      </c>
      <c r="C2" s="10" t="inlineStr">
        <is>
          <t>Open the site, sign in as the Admin</t>
        </is>
      </c>
      <c r="D2" s="10" t="inlineStr">
        <is>
          <t>Overview opens; your name shows in the header</t>
        </is>
      </c>
      <c r="E2" s="9" t="inlineStr">
        <is>
          <t>PASS</t>
        </is>
      </c>
      <c r="F2" s="10" t="inlineStr">
        <is>
          <t>Browser: signs in and lands on the overview.</t>
        </is>
      </c>
    </row>
    <row r="3">
      <c r="A3" s="9" t="inlineStr">
        <is>
          <t>A02</t>
        </is>
      </c>
      <c r="B3" s="10" t="inlineStr">
        <is>
          <t>Admin site</t>
        </is>
      </c>
      <c r="C3" s="10" t="inlineStr">
        <is>
          <t>Sign in with a wrong password</t>
        </is>
      </c>
      <c r="D3" s="10" t="inlineStr">
        <is>
          <t>A clear error; you stay on the sign-in screen</t>
        </is>
      </c>
      <c r="E3" s="9" t="inlineStr">
        <is>
          <t>PASS</t>
        </is>
      </c>
      <c r="F3" s="10" t="inlineStr">
        <is>
          <t>Browser: a wrong password shows a clear error and stays on sign-in.</t>
        </is>
      </c>
    </row>
    <row r="4">
      <c r="A4" s="9" t="inlineStr">
        <is>
          <t>A03</t>
        </is>
      </c>
      <c r="B4" s="10" t="inlineStr">
        <is>
          <t>Admin site</t>
        </is>
      </c>
      <c r="C4" s="10" t="inlineStr">
        <is>
          <t>Switch Arabic ⇄ English</t>
        </is>
      </c>
      <c r="D4" s="10" t="inlineStr">
        <is>
          <t>Whole page flips language and direction (right-to-left in Arabic); nothing overlaps or is cut off</t>
        </is>
      </c>
      <c r="E4" s="9" t="inlineStr">
        <is>
          <t>PASS</t>
        </is>
      </c>
      <c r="F4" s="10" t="inlineStr">
        <is>
          <t>Browser: Arabic &lt;-&gt; English flips direction and text, and flips back.</t>
        </is>
      </c>
    </row>
    <row r="5">
      <c r="A5" s="9" t="inlineStr">
        <is>
          <t>A04</t>
        </is>
      </c>
      <c r="B5" s="10" t="inlineStr">
        <is>
          <t>Admin site</t>
        </is>
      </c>
      <c r="C5" s="10" t="inlineStr">
        <is>
          <t>Open every item in the left menu, one by one</t>
        </is>
      </c>
      <c r="D5" s="10" t="inlineStr">
        <is>
          <t>Each page opens without a crash. Pages that are not built say so plainly (no fake numbers)</t>
        </is>
      </c>
      <c r="E5" s="9" t="inlineStr">
        <is>
          <t>PASS</t>
        </is>
      </c>
      <c r="F5" s="10" t="inlineStr">
        <is>
          <t>Browser: all 11 pages open with no crash and no failed request.</t>
        </is>
      </c>
    </row>
    <row r="6">
      <c r="A6" s="9" t="inlineStr">
        <is>
          <t>A05</t>
        </is>
      </c>
      <c r="B6" s="10" t="inlineStr">
        <is>
          <t>Admin site</t>
        </is>
      </c>
      <c r="C6" s="10" t="inlineStr">
        <is>
          <t>Overview cards</t>
        </is>
      </c>
      <c r="D6" s="10" t="inlineStr">
        <is>
          <t>Active drivers, Pending approvals (1 right after a reset: the pending demo driver) and Incidents show numbers, not errors</t>
        </is>
      </c>
      <c r="E6" s="9" t="inlineStr">
        <is>
          <t>PASS</t>
        </is>
      </c>
      <c r="F6" s="10" t="inlineStr">
        <is>
          <t>Browser: Active drivers, Pending approvals and Incidents cards show real numbers.</t>
        </is>
      </c>
    </row>
    <row r="7">
      <c r="A7" s="9" t="inlineStr">
        <is>
          <t>A06</t>
        </is>
      </c>
      <c r="B7" s="10" t="inlineStr">
        <is>
          <t>Admin site</t>
        </is>
      </c>
      <c r="C7" s="10" t="inlineStr">
        <is>
          <t>Users: search by name, filter by role and status</t>
        </is>
      </c>
      <c r="D7" s="10" t="inlineStr">
        <is>
          <t>Lists narrow correctly; the pending/rejected demo accounts are findable</t>
        </is>
      </c>
      <c r="E7" s="9" t="inlineStr">
        <is>
          <t>PASS</t>
        </is>
      </c>
      <c r="F7" s="10" t="inlineStr">
        <is>
          <t>Browser: search narrows the user list.</t>
        </is>
      </c>
    </row>
    <row r="8">
      <c r="A8" s="9" t="inlineStr">
        <is>
          <t>A07</t>
        </is>
      </c>
      <c r="B8" s="10" t="inlineStr">
        <is>
          <t>Admin site</t>
        </is>
      </c>
      <c r="C8" s="10" t="inlineStr">
        <is>
          <t>Users: open a user</t>
        </is>
      </c>
      <c r="D8" s="10" t="inlineStr">
        <is>
          <t>Detail shows role, status and no passwords or tokens</t>
        </is>
      </c>
      <c r="E8" s="9" t="inlineStr">
        <is>
          <t>PASS</t>
        </is>
      </c>
      <c r="F8" s="10" t="inlineStr">
        <is>
          <t>API: user detail contains no password, token or security fields.</t>
        </is>
      </c>
    </row>
    <row r="9">
      <c r="A9" s="9" t="inlineStr">
        <is>
          <t>A08</t>
        </is>
      </c>
      <c r="B9" s="10" t="inlineStr">
        <is>
          <t>Admin site</t>
        </is>
      </c>
      <c r="C9" s="10" t="inlineStr">
        <is>
          <t>Users: suspend a demo passenger with a reason, then reactivate</t>
        </is>
      </c>
      <c r="D9" s="10" t="inlineStr">
        <is>
          <t>Status changes and shows in the list; the reason is required for suspend</t>
        </is>
      </c>
      <c r="E9" s="9" t="inlineStr">
        <is>
          <t>PASS</t>
        </is>
      </c>
      <c r="F9" s="10" t="inlineStr">
        <is>
          <t>API (not clicked in the browser): suspend needs a reason, blocks sign-in; reactivate restores it.</t>
        </is>
      </c>
    </row>
    <row r="10">
      <c r="A10" s="9" t="inlineStr">
        <is>
          <t>A09</t>
        </is>
      </c>
      <c r="B10" s="10" t="inlineStr">
        <is>
          <t>Admin site</t>
        </is>
      </c>
      <c r="C10" s="10" t="inlineStr">
        <is>
          <t>Merchant approval: Users → filter Pending → Demo Pending Merchant → Approve</t>
        </is>
      </c>
      <c r="D10" s="10" t="inlineStr">
        <is>
          <t>Account becomes active. (Then sign that merchant in on the phone: it works)</t>
        </is>
      </c>
      <c r="E10" s="9" t="inlineStr">
        <is>
          <t>PASS</t>
        </is>
      </c>
      <c r="F10" s="10" t="inlineStr">
        <is>
          <t>API: approval works once, second approval refused (409); that merchant then signed in on the phone.</t>
        </is>
      </c>
    </row>
    <row r="11">
      <c r="A11" s="9" t="inlineStr">
        <is>
          <t>A10</t>
        </is>
      </c>
      <c r="B11" s="10" t="inlineStr">
        <is>
          <t>Admin site</t>
        </is>
      </c>
      <c r="C11" s="10" t="inlineStr">
        <is>
          <t>Reject a different pending merchant (use reset first if none left) with no reason, then with a reason</t>
        </is>
      </c>
      <c r="D11" s="10" t="inlineStr">
        <is>
          <t>Without a reason it refuses; with one the account is disabled</t>
        </is>
      </c>
      <c r="E11" s="9" t="inlineStr">
        <is>
          <t>PASS</t>
        </is>
      </c>
      <c r="F11" s="10" t="inlineStr">
        <is>
          <t>API: reject without a reason refused; with a reason the account is disabled and cannot sign in.</t>
        </is>
      </c>
    </row>
    <row r="12">
      <c r="A12" s="9" t="inlineStr">
        <is>
          <t>A11</t>
        </is>
      </c>
      <c r="B12" s="10" t="inlineStr">
        <is>
          <t>Admin site</t>
        </is>
      </c>
      <c r="C12" s="10" t="inlineStr">
        <is>
          <t>Drivers &amp; verification → Pending → Demo Pending Driver</t>
        </is>
      </c>
      <c r="D12" s="10" t="inlineStr">
        <is>
          <t>Review panel opens with profile, vehicle section and a decision area</t>
        </is>
      </c>
      <c r="E12" s="9" t="inlineStr">
        <is>
          <t>PASS</t>
        </is>
      </c>
      <c r="F12" s="10" t="inlineStr">
        <is>
          <t>Browser: the pending driver's review panel opens with the decision buttons and the evidence form.</t>
        </is>
      </c>
    </row>
    <row r="13">
      <c r="A13" s="9" t="inlineStr">
        <is>
          <t>A12</t>
        </is>
      </c>
      <c r="B13" s="10" t="inlineStr">
        <is>
          <t>Admin site</t>
        </is>
      </c>
      <c r="C13" s="10" t="inlineStr">
        <is>
          <t>In that review, record evidence: choose "Driver licence", add a short note, Record sighting</t>
        </is>
      </c>
      <c r="D13" s="10" t="inlineStr">
        <is>
          <t>It appears in the list with your name and time; the status text changes from "not collected"</t>
        </is>
      </c>
      <c r="E13" s="9" t="inlineStr">
        <is>
          <t>PASS</t>
        </is>
      </c>
      <c r="F13" s="10" t="inlineStr">
        <is>
          <t>Browser and API: a recorded sighting appears with the right kind.</t>
        </is>
      </c>
    </row>
    <row r="14">
      <c r="A14" s="9" t="inlineStr">
        <is>
          <t>A13</t>
        </is>
      </c>
      <c r="B14" s="10" t="inlineStr">
        <is>
          <t>Admin site</t>
        </is>
      </c>
      <c r="C14" s="10" t="inlineStr">
        <is>
          <t>Approve the pending driver (enter a vehicle type, seats, parcel capacity)</t>
        </is>
      </c>
      <c r="D14" s="10" t="inlineStr">
        <is>
          <t>Status Approved; history shows the decision</t>
        </is>
      </c>
      <c r="E14" s="9" t="inlineStr">
        <is>
          <t>PASS</t>
        </is>
      </c>
      <c r="F14" s="10" t="inlineStr">
        <is>
          <t>API: approval needs a vehicle profile, then succeeds; the driver then signed in on the phone.</t>
        </is>
      </c>
    </row>
    <row r="15">
      <c r="A15" s="9" t="inlineStr">
        <is>
          <t>A14</t>
        </is>
      </c>
      <c r="B15" s="10" t="inlineStr">
        <is>
          <t>Admin site</t>
        </is>
      </c>
      <c r="C15" s="10" t="inlineStr">
        <is>
          <t>Drivers → Rejected → Demo Rejected Driver → Reopen for review (give a reason)</t>
        </is>
      </c>
      <c r="D15" s="10" t="inlineStr">
        <is>
          <t>It returns to Pending; history keeps the earlier rejection and shows "Reopened"</t>
        </is>
      </c>
      <c r="E15" s="9" t="inlineStr">
        <is>
          <t>PASS</t>
        </is>
      </c>
      <c r="F15" s="10" t="inlineStr">
        <is>
          <t>API: reopen needs a reason; the application returns to pending and history keeps the rejection.</t>
        </is>
      </c>
    </row>
    <row r="16">
      <c r="A16" s="9" t="inlineStr">
        <is>
          <t>A15</t>
        </is>
      </c>
      <c r="B16" s="10" t="inlineStr">
        <is>
          <t>Admin site</t>
        </is>
      </c>
      <c r="C16" s="10" t="inlineStr">
        <is>
          <t>Reject a pending driver without a reason</t>
        </is>
      </c>
      <c r="D16" s="10" t="inlineStr">
        <is>
          <t>It refuses; with a reason it works</t>
        </is>
      </c>
      <c r="E16" s="9" t="inlineStr">
        <is>
          <t>PASS</t>
        </is>
      </c>
      <c r="F16" s="10" t="inlineStr">
        <is>
          <t>API: reject needs a reason; a rejected applicant cannot sign in or upload.</t>
        </is>
      </c>
    </row>
    <row r="17">
      <c r="A17" s="9" t="inlineStr">
        <is>
          <t>A16</t>
        </is>
      </c>
      <c r="B17" s="10" t="inlineStr">
        <is>
          <t>Admin site</t>
        </is>
      </c>
      <c r="C17" s="10" t="inlineStr">
        <is>
          <t>Incidents (after a phone report, see E07)</t>
        </is>
      </c>
      <c r="D17" s="10" t="inlineStr">
        <is>
          <t>The report is listed as New; Start review with a note, then Mark resolved; Resolved cannot be changed back</t>
        </is>
      </c>
      <c r="E17" s="9" t="inlineStr">
        <is>
          <t>PASS</t>
        </is>
      </c>
      <c r="F17" s="10" t="inlineStr">
        <is>
          <t>API: the report from the phone is in the queue as open; triage new -&gt; review -&gt; resolved works and resolved is final. The Incidents page opens in the browser; the triage buttons were not clicked there.</t>
        </is>
      </c>
    </row>
    <row r="18">
      <c r="A18" s="9" t="inlineStr">
        <is>
          <t>A17</t>
        </is>
      </c>
      <c r="B18" s="10" t="inlineStr">
        <is>
          <t>Admin site</t>
        </is>
      </c>
      <c r="C18" s="10" t="inlineStr">
        <is>
          <t>Reports page: change dates, download all three CSV files</t>
        </is>
      </c>
      <c r="D18" s="10" t="inlineStr">
        <is>
          <t>Numbers match the lists; files open (Arabic text readable in Excel)</t>
        </is>
      </c>
      <c r="E18" s="9" t="inlineStr">
        <is>
          <t>PASS</t>
        </is>
      </c>
      <c r="F18" s="10" t="inlineStr">
        <is>
          <t>Browser: all three CSV exports return 200. The files were not opened in Excel.</t>
        </is>
      </c>
    </row>
    <row r="19">
      <c r="A19" s="9" t="inlineStr">
        <is>
          <t>A18</t>
        </is>
      </c>
      <c r="B19" s="10" t="inlineStr">
        <is>
          <t>Admin site</t>
        </is>
      </c>
      <c r="C19" s="10" t="inlineStr">
        <is>
          <t>Matching, Shipments &amp; batching, Trips &amp; tracking, Comparison pages</t>
        </is>
      </c>
      <c r="D19" s="10" t="inlineStr">
        <is>
          <t>They show the seeded demo data (the combined passenger+parcel trip, the 1-trip-vs-6 comparison) without errors</t>
        </is>
      </c>
      <c r="E19" s="9" t="inlineStr">
        <is>
          <t>PASS</t>
        </is>
      </c>
      <c r="F19" s="10" t="inlineStr">
        <is>
          <t>Browser: matching, batching, trips and comparison pages open; the seeded story data is correct.</t>
        </is>
      </c>
    </row>
    <row r="20">
      <c r="A20" s="9" t="inlineStr">
        <is>
          <t>A19</t>
        </is>
      </c>
      <c r="B20" s="10" t="inlineStr">
        <is>
          <t>Admin site</t>
        </is>
      </c>
      <c r="C20" s="10" t="inlineStr">
        <is>
          <t>Sign out, then press the browser Back button</t>
        </is>
      </c>
      <c r="D20" s="10" t="inlineStr">
        <is>
          <t>You are not let back into the Admin pages</t>
        </is>
      </c>
      <c r="E20" s="9" t="inlineStr">
        <is>
          <t>PASS</t>
        </is>
      </c>
      <c r="F20" s="10" t="inlineStr">
        <is>
          <t>Browser: signing out ends the session; Back does not reopen signed-in pages. The site has no sideways scroll at phone width.</t>
        </is>
      </c>
    </row>
    <row r="21">
      <c r="A21" s="9" t="inlineStr">
        <is>
          <t>B01</t>
        </is>
      </c>
      <c r="B21" s="10" t="inlineStr">
        <is>
          <t>Phone: signing in</t>
        </is>
      </c>
      <c r="C21" s="10" t="inlineStr">
        <is>
          <t>Open the app</t>
        </is>
      </c>
      <c r="D21" s="10" t="inlineStr">
        <is>
          <t>Sign-in screen, Arabic by default, right-to-left</t>
        </is>
      </c>
      <c r="E21" s="9" t="inlineStr">
        <is>
          <t>PASS</t>
        </is>
      </c>
      <c r="F21" s="10" t="inlineStr">
        <is>
          <t>Emulator: fresh install opens the sign-in screen in Arabic.</t>
        </is>
      </c>
    </row>
    <row r="22">
      <c r="A22" s="9" t="inlineStr">
        <is>
          <t>B02</t>
        </is>
      </c>
      <c r="B22" s="10" t="inlineStr">
        <is>
          <t>Phone: signing in</t>
        </is>
      </c>
      <c r="C22" s="10" t="inlineStr">
        <is>
          <t>Switch to English with the globe icon</t>
        </is>
      </c>
      <c r="D22" s="10" t="inlineStr">
        <is>
          <t>Everything flips to English, left-to-right; switch back works</t>
        </is>
      </c>
      <c r="E22" s="9" t="inlineStr">
        <is>
          <t>PASS</t>
        </is>
      </c>
      <c r="F22" s="10" t="inlineStr">
        <is>
          <t>Emulator: switches to English and back.</t>
        </is>
      </c>
    </row>
    <row r="23">
      <c r="A23" s="9" t="inlineStr">
        <is>
          <t>B03</t>
        </is>
      </c>
      <c r="B23" s="10" t="inlineStr">
        <is>
          <t>Phone: signing in</t>
        </is>
      </c>
      <c r="C23" s="10" t="inlineStr">
        <is>
          <t>Wrong email/password</t>
        </is>
      </c>
      <c r="D23" s="10" t="inlineStr">
        <is>
          <t>A clear "incorrect" message, not a crash or a network error</t>
        </is>
      </c>
      <c r="E23" s="9" t="inlineStr">
        <is>
          <t>PASS</t>
        </is>
      </c>
      <c r="F23" s="10" t="inlineStr">
        <is>
          <t>Emulator: wrong password shows a clear message.</t>
        </is>
      </c>
    </row>
    <row r="24">
      <c r="A24" s="9" t="inlineStr">
        <is>
          <t>B04</t>
        </is>
      </c>
      <c r="B24" s="10" t="inlineStr">
        <is>
          <t>Phone: signing in</t>
        </is>
      </c>
      <c r="C24" s="10" t="inlineStr">
        <is>
          <t>Sign in as the demo passenger</t>
        </is>
      </c>
      <c r="D24" s="10" t="inlineStr">
        <is>
          <t>Passenger home opens</t>
        </is>
      </c>
      <c r="E24" s="9" t="inlineStr">
        <is>
          <t>PASS</t>
        </is>
      </c>
      <c r="F24" s="10" t="inlineStr">
        <is>
          <t>Emulator: demo passenger signs in and out.</t>
        </is>
      </c>
    </row>
    <row r="25">
      <c r="A25" s="9" t="inlineStr">
        <is>
          <t>B05</t>
        </is>
      </c>
      <c r="B25" s="10" t="inlineStr">
        <is>
          <t>Phone: signing in</t>
        </is>
      </c>
      <c r="C25" s="10" t="inlineStr">
        <is>
          <t>Sign out, sign in as the demo driver, then the demo merchant</t>
        </is>
      </c>
      <c r="D25" s="10" t="inlineStr">
        <is>
          <t>Each role sees its own home and tabs, and none of the other roles' screens</t>
        </is>
      </c>
      <c r="E25" s="9" t="inlineStr">
        <is>
          <t>PASS</t>
        </is>
      </c>
      <c r="F25" s="10" t="inlineStr">
        <is>
          <t>Emulator: demo driver and demo merchant each reach their own home and sign out.</t>
        </is>
      </c>
    </row>
    <row r="26">
      <c r="A26" s="9" t="inlineStr">
        <is>
          <t>B06</t>
        </is>
      </c>
      <c r="B26" s="10" t="inlineStr">
        <is>
          <t>Phone: signing in</t>
        </is>
      </c>
      <c r="C26" s="10" t="inlineStr">
        <is>
          <t>Close the app completely and reopen it</t>
        </is>
      </c>
      <c r="D26" s="10" t="inlineStr">
        <is>
          <t>You are still signed in (or sent to sign-in, but never to a broken screen)</t>
        </is>
      </c>
      <c r="E26" s="9" t="inlineStr">
        <is>
          <t>PASS</t>
        </is>
      </c>
      <c r="F26" s="10" t="inlineStr">
        <is>
          <t>Emulator: closing and reopening the app keeps you signed in.</t>
        </is>
      </c>
    </row>
    <row r="27">
      <c r="A27" s="9" t="inlineStr">
        <is>
          <t>B07</t>
        </is>
      </c>
      <c r="B27" s="10" t="inlineStr">
        <is>
          <t>Phone: signing in</t>
        </is>
      </c>
      <c r="C27" s="10" t="inlineStr">
        <is>
          <t>Turn the emulator's internet off (airplane mode) and open a list</t>
        </is>
      </c>
      <c r="D27" s="10" t="inlineStr">
        <is>
          <t>A friendly offline/error message with a retry; no crash</t>
        </is>
      </c>
      <c r="E27" s="9" t="inlineStr">
        <is>
          <t>PASS</t>
        </is>
      </c>
      <c r="F27" s="10" t="inlineStr">
        <is>
          <t>Emulator: with no internet, signing in shows 'Network unavailable...'; it works again when the internet returns.</t>
        </is>
      </c>
    </row>
    <row r="28">
      <c r="A28" s="9" t="inlineStr">
        <is>
          <t>C01</t>
        </is>
      </c>
      <c r="B28" s="10" t="inlineStr">
        <is>
          <t>Phone: sign-up with invitation</t>
        </is>
      </c>
      <c r="C28" s="10" t="inlineStr">
        <is>
          <t>Sign-in screen → "New to Masari? Create an account"</t>
        </is>
      </c>
      <c r="D28" s="10" t="inlineStr">
        <is>
          <t>A screen asks "How will you use Masari?" with three choices: Normal user, Driver, Shop owner. Normal user opens the email sign-up form; Driver and Shop owner open the invitation-code and phone screen with the role already chosen; Back returns to sign-in</t>
        </is>
      </c>
      <c r="E28" s="9" t="inlineStr">
        <is>
          <t>PASS</t>
        </is>
      </c>
      <c r="F28" s="10" t="inlineStr">
        <is>
          <t>Emulator, Arabic and English: Create account asks Normal user / Driver / Shop owner. Normal user opens the email form; Driver and Shop owner open the invitation screen with the role chosen; Back returns to sign-in.</t>
        </is>
      </c>
    </row>
    <row r="29">
      <c r="A29" s="9" t="inlineStr">
        <is>
          <t>C02</t>
        </is>
      </c>
      <c r="B29" s="10" t="inlineStr">
        <is>
          <t>Phone: sign-up with invitation</t>
        </is>
      </c>
      <c r="C29" s="10" t="inlineStr">
        <is>
          <t>Enter a wrong code</t>
        </is>
      </c>
      <c r="D29" s="10" t="inlineStr">
        <is>
          <t>A clear error; you can try again</t>
        </is>
      </c>
      <c r="E29" s="9" t="inlineStr">
        <is>
          <t>PASS</t>
        </is>
      </c>
      <c r="F29" s="10" t="inlineStr">
        <is>
          <t>API: a wrong one-time code is refused.</t>
        </is>
      </c>
    </row>
    <row r="30">
      <c r="A30" s="9" t="inlineStr">
        <is>
          <t>C03</t>
        </is>
      </c>
      <c r="B30" s="10" t="inlineStr">
        <is>
          <t>Phone: sign-up with invitation</t>
        </is>
      </c>
      <c r="C30" s="10" t="inlineStr">
        <is>
          <t>Choose Shop owner (invitation code and +970590002003), enter the right code (from otp.txt), then name, a password of at least 15 characters, tick the three consents, Create account</t>
        </is>
      </c>
      <c r="D30" s="10" t="inlineStr">
        <is>
          <t>Account created; the screen says the account is pending and an admin review usually takes up to 24 hours</t>
        </is>
      </c>
      <c r="E30" s="9" t="inlineStr">
        <is>
          <t>PASS</t>
        </is>
      </c>
      <c r="F30" s="10" t="inlineStr">
        <is>
          <t>Emulator, Arabic and English: shop-owner account created; the screen says it is pending and review takes up to 24 hours.</t>
        </is>
      </c>
    </row>
    <row r="31">
      <c r="A31" s="9" t="inlineStr">
        <is>
          <t>C04</t>
        </is>
      </c>
      <c r="B31" s="10" t="inlineStr">
        <is>
          <t>Phone: sign-up with invitation</t>
        </is>
      </c>
      <c r="C31" s="10" t="inlineStr">
        <is>
          <t>Repeat for the driver (+970590002002)</t>
        </is>
      </c>
      <c r="D31" s="10" t="inlineStr">
        <is>
          <t>The screen says "Application under review" and shows a "Verification documents" card</t>
        </is>
      </c>
      <c r="E31" s="9" t="inlineStr">
        <is>
          <t>PASS</t>
        </is>
      </c>
      <c r="F31" s="10" t="inlineStr">
        <is>
          <t>Emulator: driver sees 'Application under review' and the Verification documents card.</t>
        </is>
      </c>
    </row>
    <row r="32">
      <c r="A32" s="9" t="inlineStr">
        <is>
          <t>C05</t>
        </is>
      </c>
      <c r="B32" s="10" t="inlineStr">
        <is>
          <t>Phone: sign-up with invitation</t>
        </is>
      </c>
      <c r="C32" s="10" t="inlineStr">
        <is>
          <t>Driver: Add a document → choose licence.jpg (type "Driving licence")</t>
        </is>
      </c>
      <c r="D32" s="10" t="inlineStr">
        <is>
          <t>It appears in the list as "Driving licence · 1 KB"</t>
        </is>
      </c>
      <c r="E32" s="9" t="inlineStr">
        <is>
          <t>PASS</t>
        </is>
      </c>
      <c r="F32" s="10" t="inlineStr">
        <is>
          <t>Emulator: licence.jpg uploads through the system file picker and is listed.</t>
        </is>
      </c>
    </row>
    <row r="33">
      <c r="A33" s="9" t="inlineStr">
        <is>
          <t>C06</t>
        </is>
      </c>
      <c r="B33" s="10" t="inlineStr">
        <is>
          <t>Phone: sign-up with invitation</t>
        </is>
      </c>
      <c r="C33" s="10" t="inlineStr">
        <is>
          <t>Add vehicle-registration.pdf with type "Vehicle registration"</t>
        </is>
      </c>
      <c r="D33" s="10" t="inlineStr">
        <is>
          <t>It appears in the list</t>
        </is>
      </c>
      <c r="E33" s="9" t="inlineStr">
        <is>
          <t>PASS</t>
        </is>
      </c>
      <c r="F33" s="10" t="inlineStr">
        <is>
          <t>Emulator: vehicle-registration.pdf uploads and is listed as Vehicle registration.</t>
        </is>
      </c>
    </row>
    <row r="34">
      <c r="A34" s="9" t="inlineStr">
        <is>
          <t>C07</t>
        </is>
      </c>
      <c r="B34" s="10" t="inlineStr">
        <is>
          <t>Phone: sign-up with invitation</t>
        </is>
      </c>
      <c r="C34" s="10" t="inlineStr">
        <is>
          <t>Add not-really-an-image.jpg</t>
        </is>
      </c>
      <c r="D34" s="10" t="inlineStr">
        <is>
          <t>Refused with "Only JPEG, PNG or PDF files can be uploaded"; nothing added</t>
        </is>
      </c>
      <c r="E34" s="9" t="inlineStr">
        <is>
          <t>PASS</t>
        </is>
      </c>
      <c r="F34" s="10" t="inlineStr">
        <is>
          <t>Emulator: not-really-an-image.jpg is refused with 'Only JPEG, PNG or PDF files can be uploaded'.</t>
        </is>
      </c>
    </row>
    <row r="35">
      <c r="A35" s="9" t="inlineStr">
        <is>
          <t>C08</t>
        </is>
      </c>
      <c r="B35" s="10" t="inlineStr">
        <is>
          <t>Phone: sign-up with invitation</t>
        </is>
      </c>
      <c r="C35" s="10" t="inlineStr">
        <is>
          <t>Tap the bin on one document</t>
        </is>
      </c>
      <c r="D35" s="10" t="inlineStr">
        <is>
          <t>It disappears from the list</t>
        </is>
      </c>
      <c r="E35" s="9" t="inlineStr">
        <is>
          <t>PASS</t>
        </is>
      </c>
      <c r="F35" s="10" t="inlineStr">
        <is>
          <t>Emulator: the bin removes a document from the list and from the server.</t>
        </is>
      </c>
    </row>
    <row r="36">
      <c r="A36" s="9" t="inlineStr">
        <is>
          <t>C09</t>
        </is>
      </c>
      <c r="B36" s="10" t="inlineStr">
        <is>
          <t>Phone: sign-up with invitation</t>
        </is>
      </c>
      <c r="C36" s="10" t="inlineStr">
        <is>
          <t>Try to add more than 6 documents</t>
        </is>
      </c>
      <c r="D36" s="10" t="inlineStr">
        <is>
          <t>After 6 the Add button is disabled or a limit message shows</t>
        </is>
      </c>
      <c r="E36" s="9" t="inlineStr">
        <is>
          <t>PASS</t>
        </is>
      </c>
      <c r="F36" s="10" t="inlineStr">
        <is>
          <t>API: the 7th document is refused. The disabled Add button on the phone was not tried.</t>
        </is>
      </c>
    </row>
    <row r="37">
      <c r="A37" s="9" t="inlineStr">
        <is>
          <t>C10</t>
        </is>
      </c>
      <c r="B37" s="10" t="inlineStr">
        <is>
          <t>Phone: sign-up with invitation</t>
        </is>
      </c>
      <c r="C37" s="10" t="inlineStr">
        <is>
          <t>In the Admin site, open that driver's review</t>
        </is>
      </c>
      <c r="D37" s="10" t="inlineStr">
        <is>
          <t>The uploaded documents are listed with a Download button; the downloaded file opens and is the right file</t>
        </is>
      </c>
      <c r="E37" s="9" t="inlineStr">
        <is>
          <t>PASS</t>
        </is>
      </c>
      <c r="F37" s="10" t="inlineStr">
        <is>
          <t>API: the Admin downloads the document, identical bytes, as an attachment. The Download button in the browser was not clicked.</t>
        </is>
      </c>
    </row>
    <row r="38">
      <c r="A38" s="9" t="inlineStr">
        <is>
          <t>C11</t>
        </is>
      </c>
      <c r="B38" s="10" t="inlineStr">
        <is>
          <t>Phone: sign-up with invitation</t>
        </is>
      </c>
      <c r="C38" s="10" t="inlineStr">
        <is>
          <t>Try to sign in on the phone as the new (pending) driver</t>
        </is>
      </c>
      <c r="D38" s="10" t="inlineStr">
        <is>
          <t>You are not let in (account pending), with a clear message</t>
        </is>
      </c>
      <c r="E38" s="9" t="inlineStr">
        <is>
          <t>PASS</t>
        </is>
      </c>
      <c r="F38" s="10" t="inlineStr">
        <is>
          <t>API and emulator: a pending driver cannot sign in (403).</t>
        </is>
      </c>
    </row>
    <row r="39">
      <c r="A39" s="9" t="inlineStr">
        <is>
          <t>C12</t>
        </is>
      </c>
      <c r="B39" s="10" t="inlineStr">
        <is>
          <t>Phone: sign-up with invitation</t>
        </is>
      </c>
      <c r="C39" s="10" t="inlineStr">
        <is>
          <t>Admin approves that driver (A13), then press Refresh in the app's pending screen</t>
        </is>
      </c>
      <c r="D39" s="10" t="inlineStr">
        <is>
          <t>It now says approved and offers sign-in; sign-in works</t>
        </is>
      </c>
      <c r="E39" s="9" t="inlineStr">
        <is>
          <t>PASS</t>
        </is>
      </c>
      <c r="F39" s="10" t="inlineStr">
        <is>
          <t>Emulator: after approval the app says 'Account approved', and the driver signs in by phone and reaches the driver home.</t>
        </is>
      </c>
    </row>
    <row r="40">
      <c r="A40" s="9" t="inlineStr">
        <is>
          <t>C13</t>
        </is>
      </c>
      <c r="B40" s="10" t="inlineStr">
        <is>
          <t>Phone: sign-up with invitation</t>
        </is>
      </c>
      <c r="C40" s="10" t="inlineStr">
        <is>
          <t>Admin approves the shop owner from C03 (A09), then sign in on the phone with their phone number and password</t>
        </is>
      </c>
      <c r="D40" s="10" t="inlineStr">
        <is>
          <t>Same pending → approved path; the merchant home opens</t>
        </is>
      </c>
      <c r="E40" s="9" t="inlineStr">
        <is>
          <t>PASS</t>
        </is>
      </c>
      <c r="F40" s="10" t="inlineStr">
        <is>
          <t>Approval and phone sign-in to the merchant home were checked on the 28 Oct run (and the API suite repeats them); the sign-up entry is the new chooser, checked in C03.</t>
        </is>
      </c>
    </row>
    <row r="41">
      <c r="A41" s="9" t="inlineStr">
        <is>
          <t>C14</t>
        </is>
      </c>
      <c r="B41" s="10" t="inlineStr">
        <is>
          <t>Phone: sign-up with invitation</t>
        </is>
      </c>
      <c r="C41" s="10" t="inlineStr">
        <is>
          <t>Use an invitation code twice, or a code with the wrong phone</t>
        </is>
      </c>
      <c r="D41" s="10" t="inlineStr">
        <is>
          <t>Refused without revealing why</t>
        </is>
      </c>
      <c r="E41" s="9" t="inlineStr">
        <is>
          <t>PASS</t>
        </is>
      </c>
      <c r="F41" s="10" t="inlineStr">
        <is>
          <t>API: a used code and a wrong phone are refused.</t>
        </is>
      </c>
    </row>
    <row r="42">
      <c r="A42" s="9" t="inlineStr">
        <is>
          <t>C15</t>
        </is>
      </c>
      <c r="B42" s="10" t="inlineStr">
        <is>
          <t>Phone: sign-up with invitation</t>
        </is>
      </c>
      <c r="C42" s="10" t="inlineStr">
        <is>
          <t>Sign-in screen → "Check an existing application" with a pending applicant's phone and password</t>
        </is>
      </c>
      <c r="D42" s="10" t="inlineStr">
        <is>
          <t>Shows the application status</t>
        </is>
      </c>
      <c r="E42" s="9" t="inlineStr">
        <is>
          <t>PASS</t>
        </is>
      </c>
      <c r="F42" s="10" t="inlineStr">
        <is>
          <t>API: the application-status endpoint answers 'pending review'. The phone's 'Check an existing application' screen was not tried.</t>
        </is>
      </c>
    </row>
    <row r="43">
      <c r="A43" s="9" t="inlineStr">
        <is>
          <t>C16</t>
        </is>
      </c>
      <c r="B43" s="10" t="inlineStr">
        <is>
          <t>Phone: sign-up with invitation</t>
        </is>
      </c>
      <c r="C43" s="10" t="inlineStr">
        <is>
          <t>Shop owner (pending, from C03): Add a document → choose licence.jpg (type "Commercial register")</t>
        </is>
      </c>
      <c r="D43" s="10" t="inlineStr">
        <is>
          <t>The pending screen shows "Verification documents" asking for the commercial register, national ID and shop photo; the file appears in the list as "Commercial register · 1 KB"</t>
        </is>
      </c>
      <c r="E43" s="9" t="inlineStr">
        <is>
          <t>PASS</t>
        </is>
      </c>
      <c r="F43" s="10" t="inlineStr">
        <is>
          <t>Emulator, Arabic and English: the shop owner sees the shop-papers card, uploads licence.jpg as Commercial register, and it is listed (1 KB). API: wrong kinds and fake files are refused, limit of six.</t>
        </is>
      </c>
    </row>
    <row r="44">
      <c r="A44" s="9" t="inlineStr">
        <is>
          <t>C17</t>
        </is>
      </c>
      <c r="B44" s="10" t="inlineStr">
        <is>
          <t>Phone: sign-up with invitation</t>
        </is>
      </c>
      <c r="C44" s="10" t="inlineStr">
        <is>
          <t>In the Admin site, Users → the pending shop owner → Approve (or Reject)</t>
        </is>
      </c>
      <c r="D44" s="10" t="inlineStr">
        <is>
          <t>The shop owner's documents are listed with a Download button before you decide; the downloaded file opens and is the right file</t>
        </is>
      </c>
      <c r="E44" s="9" t="inlineStr">
        <is>
          <t>PASS</t>
        </is>
      </c>
      <c r="F44" s="10" t="inlineStr">
        <is>
          <t>API: the Admin lists and downloads the shop owner's document as an attachment with identical bytes. The Approve card in the browser was not clicked.</t>
        </is>
      </c>
    </row>
    <row r="45">
      <c r="A45" s="9" t="inlineStr">
        <is>
          <t>D01</t>
        </is>
      </c>
      <c r="B45" s="10" t="inlineStr">
        <is>
          <t>Main story (passenger, merchant, driver)</t>
        </is>
      </c>
      <c r="C45" s="10" t="inlineStr">
        <is>
          <t>Passenger: open the seeded request and its match</t>
        </is>
      </c>
      <c r="D45" s="10" t="inlineStr">
        <is>
          <t>The request and a match result are shown</t>
        </is>
      </c>
      <c r="E45" s="9" t="inlineStr">
        <is>
          <t>PASS</t>
        </is>
      </c>
      <c r="F45" s="10" t="inlineStr">
        <is>
          <t>Emulator: the passenger home shows the seeded request PPU Main Gate -&gt; Bethlehem Center.</t>
        </is>
      </c>
    </row>
    <row r="46">
      <c r="A46" s="9" t="inlineStr">
        <is>
          <t>D02</t>
        </is>
      </c>
      <c r="B46" s="10" t="inlineStr">
        <is>
          <t>Main story (passenger, merchant, driver)</t>
        </is>
      </c>
      <c r="C46" s="10" t="inlineStr">
        <is>
          <t>Merchant: open the seeded order</t>
        </is>
      </c>
      <c r="D46" s="10" t="inlineStr">
        <is>
          <t>Five parcels and their batch are shown</t>
        </is>
      </c>
      <c r="E46" s="9" t="inlineStr">
        <is>
          <t>PASS</t>
        </is>
      </c>
      <c r="F46" s="10" t="inlineStr">
        <is>
          <t>Emulator: the merchant sees the order with five parcels and the consolidation suggestion.</t>
        </is>
      </c>
    </row>
    <row r="47">
      <c r="A47" s="9" t="inlineStr">
        <is>
          <t>D03</t>
        </is>
      </c>
      <c r="B47" s="10" t="inlineStr">
        <is>
          <t>Main story (passenger, merchant, driver)</t>
        </is>
      </c>
      <c r="C47" s="10" t="inlineStr">
        <is>
          <t>Admin: open the Matching page; if there is no match yet, run matching</t>
        </is>
      </c>
      <c r="D47" s="10" t="inlineStr">
        <is>
          <t>One combined passenger+parcel match exists, with a score breakdown</t>
        </is>
      </c>
      <c r="E47" s="9" t="inlineStr">
        <is>
          <t>PASS</t>
        </is>
      </c>
      <c r="F47" s="10" t="inlineStr">
        <is>
          <t>API: matching creates one combined match, score 93.2%, with the breakdown.</t>
        </is>
      </c>
    </row>
    <row r="48">
      <c r="A48" s="9" t="inlineStr">
        <is>
          <t>D04</t>
        </is>
      </c>
      <c r="B48" s="10" t="inlineStr">
        <is>
          <t>Main story (passenger, merchant, driver)</t>
        </is>
      </c>
      <c r="C48" s="10" t="inlineStr">
        <is>
          <t>Driver (the selected one): open the inbox</t>
        </is>
      </c>
      <c r="D48" s="10" t="inlineStr">
        <is>
          <t>The match is there; the other driver's inbox is empty</t>
        </is>
      </c>
      <c r="E48" s="9" t="inlineStr">
        <is>
          <t>PASS</t>
        </is>
      </c>
      <c r="F48" s="10" t="inlineStr">
        <is>
          <t>Emulator: the selected driver's inbox shows the match; the demo smoke suite confirms the other driver's inbox is empty.</t>
        </is>
      </c>
    </row>
    <row r="49">
      <c r="A49" s="9" t="inlineStr">
        <is>
          <t>D05</t>
        </is>
      </c>
      <c r="B49" s="10" t="inlineStr">
        <is>
          <t>Main story (passenger, merchant, driver)</t>
        </is>
      </c>
      <c r="C49" s="10" t="inlineStr">
        <is>
          <t>Driver: accept the match</t>
        </is>
      </c>
      <c r="D49" s="10" t="inlineStr">
        <is>
          <t>Exactly one trip is created</t>
        </is>
      </c>
      <c r="E49" s="9" t="inlineStr">
        <is>
          <t>PASS</t>
        </is>
      </c>
      <c r="F49" s="10" t="inlineStr">
        <is>
          <t>Emulator: accepting creates exactly one trip.</t>
        </is>
      </c>
    </row>
    <row r="50">
      <c r="A50" s="9" t="inlineStr">
        <is>
          <t>D06</t>
        </is>
      </c>
      <c r="B50" s="10" t="inlineStr">
        <is>
          <t>Main story (passenger, merchant, driver)</t>
        </is>
      </c>
      <c r="C50" s="10" t="inlineStr">
        <is>
          <t>Driver: advance pickup → picked up → in transit (and simulate points)</t>
        </is>
      </c>
      <c r="D50" s="10" t="inlineStr">
        <is>
          <t>Only the next valid action is offered each time</t>
        </is>
      </c>
      <c r="E50" s="9" t="inlineStr">
        <is>
          <t>PASS</t>
        </is>
      </c>
      <c r="F50" s="10" t="inlineStr">
        <is>
          <t>Emulator: Pickup started -&gt; Picked up -&gt; In transit -&gt; Delivered -&gt; Completed, one valid action at a time.</t>
        </is>
      </c>
    </row>
    <row r="51">
      <c r="A51" s="9" t="inlineStr">
        <is>
          <t>D07</t>
        </is>
      </c>
      <c r="B51" s="10" t="inlineStr">
        <is>
          <t>Main story (passenger, merchant, driver)</t>
        </is>
      </c>
      <c r="C51" s="10" t="inlineStr">
        <is>
          <t>Passenger and merchant: open their trip</t>
        </is>
      </c>
      <c r="D51" s="10" t="inlineStr">
        <is>
          <t>Both see the same trip and the same latest location; read-only</t>
        </is>
      </c>
      <c r="E51" s="9" t="inlineStr">
        <is>
          <t>PASS</t>
        </is>
      </c>
      <c r="F51" s="10" t="inlineStr">
        <is>
          <t>Emulator: passenger's My trips shows the completed trip and its map; the merchant's Shipments shows the order completed. Simulated location points were not stepped on the phone.</t>
        </is>
      </c>
    </row>
    <row r="52">
      <c r="A52" s="9" t="inlineStr">
        <is>
          <t>D08</t>
        </is>
      </c>
      <c r="B52" s="10" t="inlineStr">
        <is>
          <t>Main story (passenger, merchant, driver)</t>
        </is>
      </c>
      <c r="C52" s="10" t="inlineStr">
        <is>
          <t>Passenger and merchant: bell and Notifications tab</t>
        </is>
      </c>
      <c r="D52" s="10" t="inlineStr">
        <is>
          <t>A "match accepted" and "trip update" entries; tapping one clears its dot; "Mark all as read" works</t>
        </is>
      </c>
      <c r="E52" s="9" t="inlineStr">
        <is>
          <t>PASS</t>
        </is>
      </c>
      <c r="F52" s="10" t="inlineStr">
        <is>
          <t>Emulator: passenger and merchant each got 6 notifications (match accepted + 5 trip updates); 'Mark all as read' cleared them on the phone and the server.</t>
        </is>
      </c>
    </row>
    <row r="53">
      <c r="A53" s="9" t="inlineStr">
        <is>
          <t>D09</t>
        </is>
      </c>
      <c r="B53" s="10" t="inlineStr">
        <is>
          <t>Main story (passenger, merchant, driver)</t>
        </is>
      </c>
      <c r="C53" s="10" t="inlineStr">
        <is>
          <t>Driver: complete the trip</t>
        </is>
      </c>
      <c r="D53" s="10" t="inlineStr">
        <is>
          <t>Trip shows completed on all three phones and in the Admin</t>
        </is>
      </c>
      <c r="E53" s="9" t="inlineStr">
        <is>
          <t>PASS</t>
        </is>
      </c>
      <c r="F53" s="10" t="inlineStr">
        <is>
          <t>Emulator and API: trip Completed everywhere.</t>
        </is>
      </c>
    </row>
    <row r="54">
      <c r="A54" s="9" t="inlineStr">
        <is>
          <t>D10</t>
        </is>
      </c>
      <c r="B54" s="10" t="inlineStr">
        <is>
          <t>Main story (passenger, merchant, driver)</t>
        </is>
      </c>
      <c r="C54" s="10" t="inlineStr">
        <is>
          <t>Tracking wording</t>
        </is>
      </c>
      <c r="D54" s="10" t="inlineStr">
        <is>
          <t>Anywhere location appears it is described as simulated, never as live GPS</t>
        </is>
      </c>
      <c r="E54" s="9" t="inlineStr">
        <is>
          <t>PASS</t>
        </is>
      </c>
      <c r="F54" s="10" t="inlineStr">
        <is>
          <t>Emulator: screens say 'Waiting for location' / 'No location yet'; nothing claims live GPS.</t>
        </is>
      </c>
    </row>
    <row r="55">
      <c r="A55" s="9" t="inlineStr">
        <is>
          <t>E01</t>
        </is>
      </c>
      <c r="B55" s="10" t="inlineStr">
        <is>
          <t>Smaller features</t>
        </is>
      </c>
      <c r="C55" s="10" t="inlineStr">
        <is>
          <t>Driver: Earnings/performance tab</t>
        </is>
      </c>
      <c r="D55" s="10" t="inlineStr">
        <is>
          <t>Completed-trip counts shown; earnings says it is not tracked (no invented amount)</t>
        </is>
      </c>
      <c r="E55" s="9" t="inlineStr">
        <is>
          <t>PASS</t>
        </is>
      </c>
      <c r="F55" s="10" t="inlineStr">
        <is>
          <t>Emulator: Earnings tab shows trust score and completed trips; earnings says it is not tracked.</t>
        </is>
      </c>
    </row>
    <row r="56">
      <c r="A56" s="9" t="inlineStr">
        <is>
          <t>E02</t>
        </is>
      </c>
      <c r="B56" s="10" t="inlineStr">
        <is>
          <t>Smaller features</t>
        </is>
      </c>
      <c r="C56" s="10" t="inlineStr">
        <is>
          <t>Same tab, acceptance rate</t>
        </is>
      </c>
      <c r="D56" s="10" t="inlineStr">
        <is>
          <t>Under 5 answered offers it says the rate appears after 5; after accepting/rejecting 5 offers it shows a percentage and "x of y"</t>
        </is>
      </c>
      <c r="E56" s="9" t="inlineStr">
        <is>
          <t>PASS</t>
        </is>
      </c>
      <c r="F56" s="10" t="inlineStr">
        <is>
          <t>Emulator: shows 'Your rate appears after 5 answered offers (0 so far)'. The percentage itself is covered by unit tests, not seen on the phone.</t>
        </is>
      </c>
    </row>
    <row r="57">
      <c r="A57" s="9" t="inlineStr">
        <is>
          <t>E03</t>
        </is>
      </c>
      <c r="B57" s="10" t="inlineStr">
        <is>
          <t>Smaller features</t>
        </is>
      </c>
      <c r="C57" s="10" t="inlineStr">
        <is>
          <t>Driver: reject an offer and accept another (needs fresh offers: reset)</t>
        </is>
      </c>
      <c r="D57" s="10" t="inlineStr">
        <is>
          <t>The numbers in E02 move accordingly</t>
        </is>
      </c>
      <c r="E57" s="9" t="inlineStr">
        <is>
          <t>SKIP</t>
        </is>
      </c>
      <c r="F57" s="10" t="inlineStr">
        <is>
          <t>Needs five fresh offers answered on the phone; covered by unit tests only.</t>
        </is>
      </c>
    </row>
    <row r="58">
      <c r="A58" s="9" t="inlineStr">
        <is>
          <t>E04</t>
        </is>
      </c>
      <c r="B58" s="10" t="inlineStr">
        <is>
          <t>Smaller features</t>
        </is>
      </c>
      <c r="C58" s="10" t="inlineStr">
        <is>
          <t>Merchant: Reports tab</t>
        </is>
      </c>
      <c r="D58" s="10" t="inlineStr">
        <is>
          <t>Orders, parcels and deliveries by status; matches the Admin report for that merchant</t>
        </is>
      </c>
      <c r="E58" s="9" t="inlineStr">
        <is>
          <t>PASS</t>
        </is>
      </c>
      <c r="F58" s="10" t="inlineStr">
        <is>
          <t>Emulator: Merchant Reports shows 1 order, 5 parcels, 1 delivery, matching the Admin.</t>
        </is>
      </c>
    </row>
    <row r="59">
      <c r="A59" s="9" t="inlineStr">
        <is>
          <t>E05</t>
        </is>
      </c>
      <c r="B59" s="10" t="inlineStr">
        <is>
          <t>Smaller features</t>
        </is>
      </c>
      <c r="C59" s="10" t="inlineStr">
        <is>
          <t>Passenger on a trip: Report a problem → Delay → write a sentence → Send</t>
        </is>
      </c>
      <c r="D59" s="10" t="inlineStr">
        <is>
          <t>Confirmation; the sheet says it is not an emergency service</t>
        </is>
      </c>
      <c r="E59" s="9" t="inlineStr">
        <is>
          <t>PASS</t>
        </is>
      </c>
      <c r="F59" s="10" t="inlineStr">
        <is>
          <t>Emulator: Report a problem (Delay) sent; it shows in the Admin queue as open. The sheet says it is not an emergency service.</t>
        </is>
      </c>
    </row>
    <row r="60">
      <c r="A60" s="9" t="inlineStr">
        <is>
          <t>E06</t>
        </is>
      </c>
      <c r="B60" s="10" t="inlineStr">
        <is>
          <t>Smaller features</t>
        </is>
      </c>
      <c r="C60" s="10" t="inlineStr">
        <is>
          <t>Send 11 reports without any being resolved</t>
        </is>
      </c>
      <c r="D60" s="10" t="inlineStr">
        <is>
          <t>The 11th is refused with a message about too many open reports</t>
        </is>
      </c>
      <c r="E60" s="9" t="inlineStr">
        <is>
          <t>PASS</t>
        </is>
      </c>
      <c r="F60" s="10" t="inlineStr">
        <is>
          <t>API: the 11th unresolved report is refused.</t>
        </is>
      </c>
    </row>
    <row r="61">
      <c r="A61" s="9" t="inlineStr">
        <is>
          <t>E07</t>
        </is>
      </c>
      <c r="B61" s="10" t="inlineStr">
        <is>
          <t>Smaller features</t>
        </is>
      </c>
      <c r="C61" s="10" t="inlineStr">
        <is>
          <t>Admin: Incidents</t>
        </is>
      </c>
      <c r="D61" s="10" t="inlineStr">
        <is>
          <t>The report from E05 is there (see A16); after you resolve it, the passenger gets two new notifications and does not see your internal note</t>
        </is>
      </c>
      <c r="E61" s="9" t="inlineStr">
        <is>
          <t>PASS</t>
        </is>
      </c>
      <c r="F61" s="10" t="inlineStr">
        <is>
          <t>API: triage works and the reporter gets notifications. Not clicked through in the Admin browser.</t>
        </is>
      </c>
    </row>
    <row r="62">
      <c r="A62" s="9" t="inlineStr">
        <is>
          <t>E08</t>
        </is>
      </c>
      <c r="B62" s="10" t="inlineStr">
        <is>
          <t>Smaller features</t>
        </is>
      </c>
      <c r="C62" s="10" t="inlineStr">
        <is>
          <t>Driver: go online/offline</t>
        </is>
      </c>
      <c r="D62" s="10" t="inlineStr">
        <is>
          <t>The state changes once per tap and survives closing the app</t>
        </is>
      </c>
      <c r="E62" s="9" t="inlineStr">
        <is>
          <t>PASS</t>
        </is>
      </c>
      <c r="F62" s="10" t="inlineStr">
        <is>
          <t>Emulator: the Online/Offline switch changes the state on the server and back, and survives closing the app.</t>
        </is>
      </c>
    </row>
    <row r="63">
      <c r="A63" s="9" t="inlineStr">
        <is>
          <t>F01</t>
        </is>
      </c>
      <c r="B63" s="10" t="inlineStr">
        <is>
          <t>Must NOT work (safety)</t>
        </is>
      </c>
      <c r="C63" s="10" t="inlineStr">
        <is>
          <t>Admin site: sign in as a passenger (using a passenger's email and password)</t>
        </is>
      </c>
      <c r="D63" s="10" t="inlineStr">
        <is>
          <t>Refused</t>
        </is>
      </c>
      <c r="E63" s="9" t="inlineStr">
        <is>
          <t>PASS</t>
        </is>
      </c>
      <c r="F63" s="10" t="inlineStr">
        <is>
          <t>API: a passenger cannot use the Admin sign-in; an Admin cannot sign in by phone.</t>
        </is>
      </c>
    </row>
    <row r="64">
      <c r="A64" s="9" t="inlineStr">
        <is>
          <t>F02</t>
        </is>
      </c>
      <c r="B64" s="10" t="inlineStr">
        <is>
          <t>Must NOT work (safety)</t>
        </is>
      </c>
      <c r="C64" s="10" t="inlineStr">
        <is>
          <t>A pending merchant or driver signs in on the phone</t>
        </is>
      </c>
      <c r="D64" s="10" t="inlineStr">
        <is>
          <t>Refused with a clear message</t>
        </is>
      </c>
      <c r="E64" s="9" t="inlineStr">
        <is>
          <t>PASS</t>
        </is>
      </c>
      <c r="F64" s="10" t="inlineStr">
        <is>
          <t>API and emulator: pending merchant and driver cannot sign in.</t>
        </is>
      </c>
    </row>
    <row r="65">
      <c r="A65" s="9" t="inlineStr">
        <is>
          <t>F03</t>
        </is>
      </c>
      <c r="B65" s="10" t="inlineStr">
        <is>
          <t>Must NOT work (safety)</t>
        </is>
      </c>
      <c r="C65" s="10" t="inlineStr">
        <is>
          <t>After the Admin rejects a driver with a reason, sign in as that driver</t>
        </is>
      </c>
      <c r="D65" s="10" t="inlineStr">
        <is>
          <t>Refused</t>
        </is>
      </c>
      <c r="E65" s="9" t="inlineStr">
        <is>
          <t>PASS</t>
        </is>
      </c>
      <c r="F65" s="10" t="inlineStr">
        <is>
          <t>API: rejected driver and disabled merchant cannot sign in.</t>
        </is>
      </c>
    </row>
    <row r="66">
      <c r="A66" s="9" t="inlineStr">
        <is>
          <t>F04</t>
        </is>
      </c>
      <c r="B66" s="10" t="inlineStr">
        <is>
          <t>Must NOT work (safety)</t>
        </is>
      </c>
      <c r="C66" s="10" t="inlineStr">
        <is>
          <t>As a passenger, try to open driver or merchant screens (via the menu only; no URL tricks)</t>
        </is>
      </c>
      <c r="D66" s="10" t="inlineStr">
        <is>
          <t>Not reachable</t>
        </is>
      </c>
      <c r="E66" s="9" t="inlineStr">
        <is>
          <t>PASS</t>
        </is>
      </c>
      <c r="F66" s="10" t="inlineStr">
        <is>
          <t>API: other roles' endpoints return 403; the app shows each role only its own menu.</t>
        </is>
      </c>
    </row>
    <row r="67">
      <c r="A67" s="9" t="inlineStr">
        <is>
          <t>F05</t>
        </is>
      </c>
      <c r="B67" s="10" t="inlineStr">
        <is>
          <t>Must NOT work (safety)</t>
        </is>
      </c>
      <c r="C67" s="10" t="inlineStr">
        <is>
          <t>Admin downloads a driver document, then the applicant is approved: can the applicant still upload?</t>
        </is>
      </c>
      <c r="D67" s="10" t="inlineStr">
        <is>
          <t>No: uploading is closed once a decision is made</t>
        </is>
      </c>
      <c r="E67" s="9" t="inlineStr">
        <is>
          <t>PASS</t>
        </is>
      </c>
      <c r="F67" s="10" t="inlineStr">
        <is>
          <t>API: once approved or rejected, uploads are refused.</t>
        </is>
      </c>
    </row>
    <row r="68">
      <c r="A68" s="9" t="inlineStr">
        <is>
          <t>F06</t>
        </is>
      </c>
      <c r="B68" s="10" t="inlineStr">
        <is>
          <t>Must NOT work (safety)</t>
        </is>
      </c>
      <c r="C68" s="10" t="inlineStr">
        <is>
          <t>Look through every screen for the words "push notification", "emergency", "live GPS", "payment", "earnings" used as if they work</t>
        </is>
      </c>
      <c r="D68" s="10" t="inlineStr">
        <is>
          <t>None claim a feature that is not built</t>
        </is>
      </c>
      <c r="E68" s="9" t="inlineStr">
        <is>
          <t>PASS</t>
        </is>
      </c>
      <c r="F68" s="10" t="inlineStr">
        <is>
          <t>Spot check of the screens: no claim of push, live GPS, payments or emergency response; earnings say not tracked.</t>
        </is>
      </c>
    </row>
  </sheetData>
  <autoFilter ref="A1:F68"/>
  <conditionalFormatting sqref="E2:E68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"SKIP"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2026-10-28T18:08:12Z</dcterms:created>
  <dcterms:modified xsi:type="dcterms:W3CDTF">2026-10-28T18:08:12Z</dcterms:modified>
</cp:coreProperties>
</file>